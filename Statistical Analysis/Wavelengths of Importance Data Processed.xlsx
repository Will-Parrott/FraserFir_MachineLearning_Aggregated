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illi\Desktop\Master's Thesis Workbook\Analyses\"/>
    </mc:Choice>
  </mc:AlternateContent>
  <xr:revisionPtr revIDLastSave="0" documentId="13_ncr:1_{764067A5-0795-4875-A5E6-85F7CD233B8F}" xr6:coauthVersionLast="47" xr6:coauthVersionMax="47" xr10:uidLastSave="{00000000-0000-0000-0000-000000000000}"/>
  <bookViews>
    <workbookView xWindow="-120" yWindow="-120" windowWidth="29040" windowHeight="15720" xr2:uid="{F66672A6-89C9-4BE4-A30D-68D6B94DE7A6}"/>
  </bookViews>
  <sheets>
    <sheet name="Aggregated Wavelength Data" sheetId="14" r:id="rId1"/>
    <sheet name="Monthly Analyses SVM" sheetId="11" r:id="rId2"/>
    <sheet name="Class Analyses SVM" sheetId="12" r:id="rId3"/>
    <sheet name="2 Class Aggregate Wavelengths" sheetId="17" r:id="rId4"/>
    <sheet name="2 Class Phloem Aggregate" sheetId="19" r:id="rId5"/>
    <sheet name="Figure for Publication" sheetId="18" r:id="rId6"/>
    <sheet name="VarImp" sheetId="1" r:id="rId7"/>
    <sheet name="Interpretation" sheetId="4" r:id="rId8"/>
    <sheet name="Prediction" sheetId="5" r:id="rId9"/>
    <sheet name="PLSDA" sheetId="16" r:id="rId10"/>
    <sheet name="Bulk Wavelengths" sheetId="15" r:id="rId11"/>
    <sheet name="WLReference" sheetId="9" r:id="rId12"/>
    <sheet name="ColRef" sheetId="10" r:id="rId13"/>
  </sheets>
  <calcPr calcId="191029"/>
  <pivotCaches>
    <pivotCache cacheId="4" r:id="rId14"/>
    <pivotCache cacheId="5" r:id="rId15"/>
    <pivotCache cacheId="6" r:id="rId16"/>
    <pivotCache cacheId="7" r:id="rId17"/>
    <pivotCache cacheId="8" r:id="rId18"/>
    <pivotCache cacheId="9" r:id="rId19"/>
    <pivotCache cacheId="10" r:id="rId20"/>
    <pivotCache cacheId="11" r:id="rId21"/>
    <pivotCache cacheId="12" r:id="rId22"/>
    <pivotCache cacheId="13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19" l="1" a="1"/>
  <c r="C68" i="19" s="1"/>
  <c r="C67" i="19" a="1"/>
  <c r="C67" i="19" s="1"/>
  <c r="C66" i="19" a="1"/>
  <c r="C66" i="19" s="1"/>
  <c r="C65" i="19" a="1"/>
  <c r="C65" i="19" s="1"/>
  <c r="C64" i="19" a="1"/>
  <c r="C64" i="19" s="1"/>
  <c r="C63" i="19" a="1"/>
  <c r="C63" i="19" s="1"/>
  <c r="C62" i="19" a="1"/>
  <c r="C62" i="19" s="1"/>
  <c r="C61" i="19" a="1"/>
  <c r="C61" i="19" s="1"/>
  <c r="C60" i="19" a="1"/>
  <c r="C60" i="19" s="1"/>
  <c r="C59" i="19" a="1"/>
  <c r="C59" i="19" s="1"/>
  <c r="C58" i="19" a="1"/>
  <c r="C58" i="19" s="1"/>
  <c r="C57" i="19" a="1"/>
  <c r="C57" i="19" s="1"/>
  <c r="C56" i="19" a="1"/>
  <c r="C56" i="19" s="1"/>
  <c r="C55" i="19" a="1"/>
  <c r="C55" i="19" s="1"/>
  <c r="C54" i="19" a="1"/>
  <c r="C54" i="19" s="1"/>
  <c r="C53" i="19" a="1"/>
  <c r="C53" i="19" s="1"/>
  <c r="C52" i="19" a="1"/>
  <c r="C52" i="19" s="1"/>
  <c r="C51" i="19" a="1"/>
  <c r="C51" i="19" s="1"/>
  <c r="C50" i="19" a="1"/>
  <c r="C50" i="19" s="1"/>
  <c r="C49" i="19" a="1"/>
  <c r="C49" i="19" s="1"/>
  <c r="C48" i="19" a="1"/>
  <c r="C48" i="19" s="1"/>
  <c r="C47" i="19" a="1"/>
  <c r="C47" i="19" s="1"/>
  <c r="C46" i="19" a="1"/>
  <c r="C46" i="19" s="1"/>
  <c r="C45" i="19" a="1"/>
  <c r="C45" i="19" s="1"/>
  <c r="C44" i="19" a="1"/>
  <c r="C44" i="19" s="1"/>
  <c r="C43" i="19" a="1"/>
  <c r="C43" i="19" s="1"/>
  <c r="C42" i="19" a="1"/>
  <c r="C42" i="19" s="1"/>
  <c r="C41" i="19" a="1"/>
  <c r="C41" i="19" s="1"/>
  <c r="C40" i="19" a="1"/>
  <c r="C40" i="19" s="1"/>
  <c r="C39" i="19" a="1"/>
  <c r="C39" i="19" s="1"/>
  <c r="C38" i="19" a="1"/>
  <c r="C38" i="19" s="1"/>
  <c r="C37" i="19" a="1"/>
  <c r="C37" i="19" s="1"/>
  <c r="C36" i="19" a="1"/>
  <c r="C36" i="19" s="1"/>
  <c r="C35" i="19" a="1"/>
  <c r="C35" i="19" s="1"/>
  <c r="C34" i="19" a="1"/>
  <c r="C34" i="19" s="1"/>
  <c r="C33" i="19" a="1"/>
  <c r="C33" i="19" s="1"/>
  <c r="C32" i="19" a="1"/>
  <c r="C32" i="19" s="1"/>
  <c r="C31" i="19" a="1"/>
  <c r="C31" i="19" s="1"/>
  <c r="C30" i="19" a="1"/>
  <c r="C30" i="19" s="1"/>
  <c r="C29" i="19" a="1"/>
  <c r="C29" i="19" s="1"/>
  <c r="E28" i="19"/>
  <c r="D28" i="19"/>
  <c r="D28" i="19" a="1"/>
  <c r="C28" i="19"/>
  <c r="C28" i="19" a="1"/>
  <c r="E27" i="19"/>
  <c r="D27" i="19" a="1"/>
  <c r="D27" i="19" s="1"/>
  <c r="C27" i="19" a="1"/>
  <c r="C27" i="19" s="1"/>
  <c r="E26" i="19"/>
  <c r="D26" i="19"/>
  <c r="D26" i="19" a="1"/>
  <c r="C26" i="19"/>
  <c r="C26" i="19" a="1"/>
  <c r="E25" i="19"/>
  <c r="D25" i="19" a="1"/>
  <c r="D25" i="19" s="1"/>
  <c r="C25" i="19" a="1"/>
  <c r="C25" i="19" s="1"/>
  <c r="E24" i="19"/>
  <c r="D24" i="19" a="1"/>
  <c r="D24" i="19" s="1"/>
  <c r="C24" i="19" a="1"/>
  <c r="C24" i="19" s="1"/>
  <c r="E23" i="19"/>
  <c r="D23" i="19" a="1"/>
  <c r="D23" i="19" s="1"/>
  <c r="C23" i="19" a="1"/>
  <c r="C23" i="19" s="1"/>
  <c r="E22" i="19"/>
  <c r="D22" i="19"/>
  <c r="D22" i="19" a="1"/>
  <c r="C22" i="19" a="1"/>
  <c r="C22" i="19" s="1"/>
  <c r="E21" i="19"/>
  <c r="D21" i="19" a="1"/>
  <c r="D21" i="19" s="1"/>
  <c r="C21" i="19" a="1"/>
  <c r="C21" i="19" s="1"/>
  <c r="E20" i="19"/>
  <c r="D20" i="19"/>
  <c r="D20" i="19" a="1"/>
  <c r="C20" i="19"/>
  <c r="C20" i="19" a="1"/>
  <c r="C19" i="19" a="1"/>
  <c r="C19" i="19" s="1"/>
  <c r="C18" i="19"/>
  <c r="C18" i="19" a="1"/>
  <c r="C17" i="19"/>
  <c r="C17" i="19" a="1"/>
  <c r="C16" i="19"/>
  <c r="C16" i="19" a="1"/>
  <c r="C15" i="19"/>
  <c r="C15" i="19" a="1"/>
  <c r="C14" i="19"/>
  <c r="C14" i="19" a="1"/>
  <c r="C13" i="19" a="1"/>
  <c r="C13" i="19" s="1"/>
  <c r="C12" i="19" a="1"/>
  <c r="C12" i="19" s="1"/>
  <c r="C11" i="19"/>
  <c r="C11" i="19" a="1"/>
  <c r="C10" i="19"/>
  <c r="C10" i="19" a="1"/>
  <c r="C9" i="19"/>
  <c r="C9" i="19" a="1"/>
  <c r="C8" i="19" a="1"/>
  <c r="C8" i="19" s="1"/>
  <c r="C7" i="19" a="1"/>
  <c r="C7" i="19" s="1"/>
  <c r="C6" i="19" a="1"/>
  <c r="C6" i="19" s="1"/>
  <c r="C5" i="19"/>
  <c r="C5" i="19" a="1"/>
  <c r="C4" i="19"/>
  <c r="C4" i="19" a="1"/>
  <c r="C3" i="19"/>
  <c r="C3" i="19" a="1"/>
  <c r="C2" i="19" a="1"/>
  <c r="C2" i="19" s="1"/>
  <c r="C70" i="17" a="1"/>
  <c r="C70" i="17" s="1"/>
  <c r="C71" i="17" a="1"/>
  <c r="C71" i="17" s="1"/>
  <c r="C72" i="17" a="1"/>
  <c r="C72" i="17" s="1"/>
  <c r="C73" i="17" a="1"/>
  <c r="C73" i="17" s="1"/>
  <c r="C74" i="17" a="1"/>
  <c r="C74" i="17" s="1"/>
  <c r="C75" i="17" a="1"/>
  <c r="C75" i="17" s="1"/>
  <c r="C76" i="17" a="1"/>
  <c r="C76" i="17" s="1"/>
  <c r="C77" i="17" a="1"/>
  <c r="C77" i="17" s="1"/>
  <c r="C78" i="17" a="1"/>
  <c r="C78" i="17" s="1"/>
  <c r="C79" i="17" a="1"/>
  <c r="C79" i="17" s="1"/>
  <c r="C80" i="17" a="1"/>
  <c r="C80" i="17" s="1"/>
  <c r="C81" i="17" a="1"/>
  <c r="C81" i="17" s="1"/>
  <c r="C82" i="17" a="1"/>
  <c r="C82" i="17" s="1"/>
  <c r="C83" i="17" a="1"/>
  <c r="C83" i="17" s="1"/>
  <c r="C84" i="17" a="1"/>
  <c r="C84" i="17" s="1"/>
  <c r="C85" i="17" a="1"/>
  <c r="C85" i="17" s="1"/>
  <c r="C86" i="17" a="1"/>
  <c r="C86" i="17" s="1"/>
  <c r="C2" i="17" a="1"/>
  <c r="C2" i="17" s="1"/>
  <c r="C3" i="17" a="1"/>
  <c r="C3" i="17" s="1"/>
  <c r="C4" i="17" a="1"/>
  <c r="C4" i="17" s="1"/>
  <c r="C5" i="17" a="1"/>
  <c r="C5" i="17" s="1"/>
  <c r="C6" i="17" a="1"/>
  <c r="C6" i="17" s="1"/>
  <c r="C7" i="17" a="1"/>
  <c r="C7" i="17" s="1"/>
  <c r="C8" i="17" a="1"/>
  <c r="C8" i="17" s="1"/>
  <c r="C9" i="17" a="1"/>
  <c r="C9" i="17" s="1"/>
  <c r="C10" i="17" a="1"/>
  <c r="C10" i="17" s="1"/>
  <c r="C11" i="17" a="1"/>
  <c r="C11" i="17" s="1"/>
  <c r="C12" i="17" a="1"/>
  <c r="C12" i="17" s="1"/>
  <c r="C13" i="17" a="1"/>
  <c r="C13" i="17" s="1"/>
  <c r="C14" i="17" a="1"/>
  <c r="C14" i="17"/>
  <c r="C15" i="17" a="1"/>
  <c r="C15" i="17" s="1"/>
  <c r="C16" i="17" a="1"/>
  <c r="C16" i="17" s="1"/>
  <c r="C17" i="17" a="1"/>
  <c r="C17" i="17" s="1"/>
  <c r="C18" i="17" a="1"/>
  <c r="C18" i="17" s="1"/>
  <c r="C87" i="17" a="1"/>
  <c r="C87" i="17" s="1"/>
  <c r="C88" i="17" a="1"/>
  <c r="C88" i="17"/>
  <c r="C89" i="17" a="1"/>
  <c r="C89" i="17" s="1"/>
  <c r="C90" i="17" a="1"/>
  <c r="C90" i="17" s="1"/>
  <c r="C91" i="17" a="1"/>
  <c r="C91" i="17" s="1"/>
  <c r="C92" i="17" a="1"/>
  <c r="C92" i="17" s="1"/>
  <c r="C93" i="17" a="1"/>
  <c r="C93" i="17" s="1"/>
  <c r="C94" i="17" a="1"/>
  <c r="C94" i="17" s="1"/>
  <c r="C19" i="17" a="1"/>
  <c r="C19" i="17" s="1"/>
  <c r="C95" i="17" a="1"/>
  <c r="C95" i="17" s="1"/>
  <c r="C96" i="17" a="1"/>
  <c r="C96" i="17" s="1"/>
  <c r="C97" i="17" a="1"/>
  <c r="C97" i="17" s="1"/>
  <c r="C98" i="17" a="1"/>
  <c r="C98" i="17" s="1"/>
  <c r="C99" i="17" a="1"/>
  <c r="C99" i="17" s="1"/>
  <c r="C100" i="17" a="1"/>
  <c r="C100" i="17" s="1"/>
  <c r="C101" i="17" a="1"/>
  <c r="C101" i="17" s="1"/>
  <c r="C20" i="17" a="1"/>
  <c r="C20" i="17" s="1"/>
  <c r="C21" i="17" a="1"/>
  <c r="C21" i="17" s="1"/>
  <c r="C22" i="17" a="1"/>
  <c r="C22" i="17" s="1"/>
  <c r="C23" i="17" a="1"/>
  <c r="C23" i="17"/>
  <c r="C24" i="17" a="1"/>
  <c r="C24" i="17" s="1"/>
  <c r="C25" i="17" a="1"/>
  <c r="C25" i="17" s="1"/>
  <c r="C26" i="17" a="1"/>
  <c r="C26" i="17" s="1"/>
  <c r="C27" i="17" a="1"/>
  <c r="C27" i="17" s="1"/>
  <c r="C102" i="17" a="1"/>
  <c r="C102" i="17" s="1"/>
  <c r="C103" i="17" a="1"/>
  <c r="C103" i="17" s="1"/>
  <c r="C104" i="17" a="1"/>
  <c r="C104" i="17" s="1"/>
  <c r="C105" i="17" a="1"/>
  <c r="C105" i="17" s="1"/>
  <c r="C28" i="17" a="1"/>
  <c r="C28" i="17" s="1"/>
  <c r="C106" i="17" a="1"/>
  <c r="C106" i="17" s="1"/>
  <c r="C107" i="17" a="1"/>
  <c r="C107" i="17" s="1"/>
  <c r="C108" i="17" a="1"/>
  <c r="C108" i="17"/>
  <c r="C109" i="17" a="1"/>
  <c r="C109" i="17" s="1"/>
  <c r="C110" i="17" a="1"/>
  <c r="C110" i="17" s="1"/>
  <c r="C111" i="17" a="1"/>
  <c r="C111" i="17" s="1"/>
  <c r="C112" i="17" a="1"/>
  <c r="C112" i="17" s="1"/>
  <c r="C113" i="17" a="1"/>
  <c r="C113" i="17" s="1"/>
  <c r="C114" i="17" a="1"/>
  <c r="C114" i="17" s="1"/>
  <c r="C115" i="17" a="1"/>
  <c r="C115" i="17" s="1"/>
  <c r="C116" i="17" a="1"/>
  <c r="C116" i="17" s="1"/>
  <c r="C117" i="17" a="1"/>
  <c r="C117" i="17" s="1"/>
  <c r="C118" i="17" a="1"/>
  <c r="C118" i="17" s="1"/>
  <c r="C119" i="17" a="1"/>
  <c r="C119" i="17" s="1"/>
  <c r="C120" i="17" a="1"/>
  <c r="C120" i="17" s="1"/>
  <c r="C121" i="17" a="1"/>
  <c r="C121" i="17" s="1"/>
  <c r="C122" i="17" a="1"/>
  <c r="C122" i="17" s="1"/>
  <c r="C123" i="17" a="1"/>
  <c r="C123" i="17" s="1"/>
  <c r="C124" i="17" a="1"/>
  <c r="C124" i="17" s="1"/>
  <c r="C125" i="17" a="1"/>
  <c r="C125" i="17" s="1"/>
  <c r="C29" i="17" a="1"/>
  <c r="C29" i="17" s="1"/>
  <c r="C30" i="17" a="1"/>
  <c r="C30" i="17" s="1"/>
  <c r="C31" i="17" a="1"/>
  <c r="C31" i="17" s="1"/>
  <c r="C32" i="17" a="1"/>
  <c r="C32" i="17" s="1"/>
  <c r="C33" i="17" a="1"/>
  <c r="C33" i="17" s="1"/>
  <c r="C34" i="17" a="1"/>
  <c r="C34" i="17" s="1"/>
  <c r="C35" i="17" a="1"/>
  <c r="C35" i="17" s="1"/>
  <c r="C36" i="17" a="1"/>
  <c r="C36" i="17" s="1"/>
  <c r="C37" i="17" a="1"/>
  <c r="C37" i="17" s="1"/>
  <c r="C38" i="17" a="1"/>
  <c r="C38" i="17" s="1"/>
  <c r="C39" i="17" a="1"/>
  <c r="C39" i="17" s="1"/>
  <c r="C40" i="17" a="1"/>
  <c r="C40" i="17" s="1"/>
  <c r="C41" i="17" a="1"/>
  <c r="C41" i="17" s="1"/>
  <c r="C42" i="17" a="1"/>
  <c r="C42" i="17" s="1"/>
  <c r="C43" i="17" a="1"/>
  <c r="C43" i="17" s="1"/>
  <c r="C44" i="17" a="1"/>
  <c r="C44" i="17" s="1"/>
  <c r="C45" i="17" a="1"/>
  <c r="C45" i="17" s="1"/>
  <c r="C46" i="17" a="1"/>
  <c r="C46" i="17" s="1"/>
  <c r="C47" i="17" a="1"/>
  <c r="C47" i="17"/>
  <c r="C48" i="17" a="1"/>
  <c r="C48" i="17" s="1"/>
  <c r="C126" i="17" a="1"/>
  <c r="C126" i="17" s="1"/>
  <c r="C127" i="17" a="1"/>
  <c r="C127" i="17" s="1"/>
  <c r="C128" i="17" a="1"/>
  <c r="C128" i="17" s="1"/>
  <c r="C129" i="17" a="1"/>
  <c r="C129" i="17" s="1"/>
  <c r="C130" i="17" a="1"/>
  <c r="C130" i="17" s="1"/>
  <c r="C131" i="17" a="1"/>
  <c r="C131" i="17" s="1"/>
  <c r="C132" i="17" a="1"/>
  <c r="C132" i="17" s="1"/>
  <c r="C133" i="17" a="1"/>
  <c r="C133" i="17" s="1"/>
  <c r="C134" i="17" a="1"/>
  <c r="C134" i="17" s="1"/>
  <c r="C135" i="17" a="1"/>
  <c r="C135" i="17" s="1"/>
  <c r="C136" i="17" a="1"/>
  <c r="C136" i="17" s="1"/>
  <c r="C137" i="17" a="1"/>
  <c r="C137" i="17" s="1"/>
  <c r="C138" i="17" a="1"/>
  <c r="C138" i="17" s="1"/>
  <c r="C139" i="17" a="1"/>
  <c r="C139" i="17" s="1"/>
  <c r="C140" i="17" a="1"/>
  <c r="C140" i="17" s="1"/>
  <c r="C141" i="17" a="1"/>
  <c r="C141" i="17" s="1"/>
  <c r="C142" i="17" a="1"/>
  <c r="C142" i="17" s="1"/>
  <c r="C143" i="17" a="1"/>
  <c r="C143" i="17" s="1"/>
  <c r="C144" i="17" a="1"/>
  <c r="C144" i="17" s="1"/>
  <c r="C145" i="17" a="1"/>
  <c r="C145" i="17" s="1"/>
  <c r="C49" i="17" a="1"/>
  <c r="C49" i="17" s="1"/>
  <c r="C50" i="17" a="1"/>
  <c r="C50" i="17" s="1"/>
  <c r="C51" i="17" a="1"/>
  <c r="C51" i="17"/>
  <c r="C52" i="17" a="1"/>
  <c r="C52" i="17" s="1"/>
  <c r="C53" i="17" a="1"/>
  <c r="C53" i="17" s="1"/>
  <c r="C54" i="17" a="1"/>
  <c r="C54" i="17" s="1"/>
  <c r="C55" i="17" a="1"/>
  <c r="C55" i="17" s="1"/>
  <c r="C56" i="17" a="1"/>
  <c r="C56" i="17" s="1"/>
  <c r="C57" i="17" a="1"/>
  <c r="C57" i="17" s="1"/>
  <c r="C58" i="17" a="1"/>
  <c r="C58" i="17" s="1"/>
  <c r="C59" i="17" a="1"/>
  <c r="C59" i="17" s="1"/>
  <c r="C60" i="17" a="1"/>
  <c r="C60" i="17" s="1"/>
  <c r="C61" i="17" a="1"/>
  <c r="C61" i="17" s="1"/>
  <c r="C62" i="17" a="1"/>
  <c r="C62" i="17" s="1"/>
  <c r="C63" i="17" a="1"/>
  <c r="C63" i="17" s="1"/>
  <c r="C64" i="17" a="1"/>
  <c r="C64" i="17" s="1"/>
  <c r="C65" i="17" a="1"/>
  <c r="C65" i="17" s="1"/>
  <c r="C66" i="17" a="1"/>
  <c r="C66" i="17" s="1"/>
  <c r="C67" i="17" a="1"/>
  <c r="C67" i="17" s="1"/>
  <c r="C68" i="17" a="1"/>
  <c r="C68" i="17" s="1"/>
  <c r="C69" i="17" a="1"/>
  <c r="C69" i="17" s="1"/>
  <c r="E28" i="17"/>
  <c r="D28" i="17" a="1"/>
  <c r="D28" i="17" s="1"/>
  <c r="E105" i="17"/>
  <c r="D105" i="17" a="1"/>
  <c r="D105" i="17" s="1"/>
  <c r="E104" i="17"/>
  <c r="D104" i="17" a="1"/>
  <c r="D104" i="17" s="1"/>
  <c r="E103" i="17"/>
  <c r="D103" i="17" a="1"/>
  <c r="D103" i="17" s="1"/>
  <c r="E102" i="17"/>
  <c r="D102" i="17" a="1"/>
  <c r="D102" i="17" s="1"/>
  <c r="E27" i="17"/>
  <c r="D27" i="17" a="1"/>
  <c r="D27" i="17" s="1"/>
  <c r="E26" i="17"/>
  <c r="D26" i="17" a="1"/>
  <c r="D26" i="17" s="1"/>
  <c r="E25" i="17"/>
  <c r="D25" i="17" a="1"/>
  <c r="D25" i="17" s="1"/>
  <c r="E24" i="17"/>
  <c r="D24" i="17" a="1"/>
  <c r="D24" i="17" s="1"/>
  <c r="E23" i="17"/>
  <c r="D23" i="17" a="1"/>
  <c r="D23" i="17" s="1"/>
  <c r="E22" i="17"/>
  <c r="D22" i="17" a="1"/>
  <c r="D22" i="17" s="1"/>
  <c r="E21" i="17"/>
  <c r="D21" i="17" a="1"/>
  <c r="D21" i="17" s="1"/>
  <c r="E20" i="17"/>
  <c r="D20" i="17" a="1"/>
  <c r="D20" i="17" s="1"/>
  <c r="E101" i="17"/>
  <c r="D101" i="17" a="1"/>
  <c r="D101" i="17" s="1"/>
  <c r="E100" i="17"/>
  <c r="D100" i="17" a="1"/>
  <c r="D100" i="17" s="1"/>
  <c r="E99" i="17"/>
  <c r="D99" i="17" a="1"/>
  <c r="D99" i="17" s="1"/>
  <c r="E98" i="17"/>
  <c r="D98" i="17" a="1"/>
  <c r="D98" i="17" s="1"/>
  <c r="E97" i="17"/>
  <c r="D97" i="17" a="1"/>
  <c r="D97" i="17" s="1"/>
  <c r="E96" i="17"/>
  <c r="D96" i="17" a="1"/>
  <c r="D96" i="17" s="1"/>
  <c r="E95" i="17"/>
  <c r="D95" i="17" a="1"/>
  <c r="D95" i="17" s="1"/>
  <c r="B3" i="5" a="1"/>
  <c r="B3" i="5" s="1"/>
  <c r="B4" i="5" a="1"/>
  <c r="B4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/>
  <c r="B26" i="5" a="1"/>
  <c r="B26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13" i="5" a="1"/>
  <c r="B13" i="5"/>
  <c r="B14" i="5" a="1"/>
  <c r="B14" i="5" s="1"/>
  <c r="B15" i="5" a="1"/>
  <c r="B15" i="5" s="1"/>
  <c r="B35" i="5" a="1"/>
  <c r="B35" i="5" s="1"/>
  <c r="B36" i="5" a="1"/>
  <c r="B36" i="5" s="1"/>
  <c r="B37" i="5" a="1"/>
  <c r="B37" i="5" s="1"/>
  <c r="B38" i="5" a="1"/>
  <c r="B38" i="5" s="1"/>
  <c r="B16" i="5" a="1"/>
  <c r="B16" i="5" s="1"/>
  <c r="B17" i="5" a="1"/>
  <c r="B17" i="5" s="1"/>
  <c r="B18" i="5" a="1"/>
  <c r="B18" i="5" s="1"/>
  <c r="B19" i="5" a="1"/>
  <c r="B19" i="5" s="1"/>
  <c r="B39" i="5" a="1"/>
  <c r="B39" i="5" s="1"/>
  <c r="B2" i="5" a="1"/>
  <c r="B2" i="5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2" i="4" a="1"/>
  <c r="B2" i="4" s="1"/>
  <c r="B3" i="4" a="1"/>
  <c r="B3" i="4" s="1"/>
  <c r="B4" i="4" a="1"/>
  <c r="B4" i="4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73" i="4" a="1"/>
  <c r="B73" i="4" s="1"/>
  <c r="B74" i="4" a="1"/>
  <c r="B74" i="4" s="1"/>
  <c r="B75" i="4" a="1"/>
  <c r="B75" i="4" s="1"/>
  <c r="B76" i="4" a="1"/>
  <c r="B76" i="4" s="1"/>
  <c r="B77" i="4" a="1"/>
  <c r="B77" i="4" s="1"/>
  <c r="B78" i="4" a="1"/>
  <c r="B78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79" i="4" a="1"/>
  <c r="B79" i="4" s="1"/>
  <c r="B80" i="4" a="1"/>
  <c r="B80" i="4" s="1"/>
  <c r="B81" i="4" a="1"/>
  <c r="B81" i="4" s="1"/>
  <c r="B82" i="4" a="1"/>
  <c r="B82" i="4" s="1"/>
  <c r="B83" i="4" a="1"/>
  <c r="B83" i="4" s="1"/>
  <c r="B84" i="4" a="1"/>
  <c r="B84" i="4" s="1"/>
  <c r="B85" i="4" a="1"/>
  <c r="B85" i="4" s="1"/>
  <c r="B86" i="4" a="1"/>
  <c r="B86" i="4" s="1"/>
  <c r="B87" i="4" a="1"/>
  <c r="B87" i="4" s="1"/>
  <c r="B88" i="4" a="1"/>
  <c r="B88" i="4" s="1"/>
  <c r="B89" i="4" a="1"/>
  <c r="B89" i="4" s="1"/>
  <c r="B90" i="4" a="1"/>
  <c r="B90" i="4" s="1"/>
  <c r="B91" i="4" a="1"/>
  <c r="B91" i="4" s="1"/>
  <c r="B92" i="4" a="1"/>
  <c r="B92" i="4" s="1"/>
  <c r="B93" i="4" a="1"/>
  <c r="B93" i="4" s="1"/>
  <c r="B94" i="4" a="1"/>
  <c r="B94" i="4" s="1"/>
  <c r="B95" i="4" a="1"/>
  <c r="B95" i="4" s="1"/>
  <c r="B96" i="4" a="1"/>
  <c r="B96" i="4" s="1"/>
  <c r="B97" i="4" a="1"/>
  <c r="B97" i="4" s="1"/>
  <c r="B98" i="4" a="1"/>
  <c r="B98" i="4" s="1"/>
  <c r="B99" i="4" a="1"/>
  <c r="B99" i="4"/>
  <c r="B100" i="4" a="1"/>
  <c r="B100" i="4" s="1"/>
  <c r="B101" i="4" a="1"/>
  <c r="B101" i="4" s="1"/>
  <c r="B102" i="4" a="1"/>
  <c r="B102" i="4" s="1"/>
  <c r="B103" i="4" a="1"/>
  <c r="B103" i="4" s="1"/>
  <c r="B104" i="4" a="1"/>
  <c r="B104" i="4" s="1"/>
  <c r="B105" i="4" a="1"/>
  <c r="B105" i="4" s="1"/>
  <c r="B106" i="4" a="1"/>
  <c r="B106" i="4" s="1"/>
  <c r="B107" i="4" a="1"/>
  <c r="B107" i="4" s="1"/>
  <c r="B108" i="4" a="1"/>
  <c r="B108" i="4" s="1"/>
  <c r="B109" i="4" a="1"/>
  <c r="B109" i="4" s="1"/>
  <c r="B110" i="4" a="1"/>
  <c r="B110" i="4" s="1"/>
  <c r="B111" i="4" a="1"/>
  <c r="B111" i="4" s="1"/>
  <c r="B112" i="4" a="1"/>
  <c r="B112" i="4" s="1"/>
  <c r="B113" i="4" a="1"/>
  <c r="B113" i="4" s="1"/>
  <c r="B114" i="4" a="1"/>
  <c r="B114" i="4" s="1"/>
  <c r="B115" i="4" a="1"/>
  <c r="B115" i="4" s="1"/>
  <c r="B116" i="4" a="1"/>
  <c r="B116" i="4" s="1"/>
  <c r="B117" i="4" a="1"/>
  <c r="B117" i="4" s="1"/>
  <c r="B118" i="4" a="1"/>
  <c r="B118" i="4" s="1"/>
  <c r="B119" i="4" a="1"/>
  <c r="B119" i="4" s="1"/>
  <c r="B120" i="4" a="1"/>
  <c r="B120" i="4" s="1"/>
  <c r="B121" i="4" a="1"/>
  <c r="B121" i="4" s="1"/>
  <c r="B122" i="4" a="1"/>
  <c r="B122" i="4" s="1"/>
  <c r="B123" i="4" a="1"/>
  <c r="B123" i="4" s="1"/>
  <c r="B45" i="4" a="1"/>
  <c r="B45" i="4" s="1"/>
  <c r="B46" i="4" a="1"/>
  <c r="B46" i="4" s="1"/>
  <c r="C45" i="4"/>
  <c r="C2" i="5"/>
  <c r="C3" i="5"/>
  <c r="C4" i="5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73" i="4"/>
  <c r="C74" i="4"/>
  <c r="C75" i="4"/>
  <c r="C76" i="4"/>
  <c r="C77" i="4"/>
  <c r="C78" i="4"/>
  <c r="C37" i="4"/>
  <c r="C38" i="4"/>
  <c r="C39" i="4"/>
  <c r="C40" i="4"/>
  <c r="C41" i="4"/>
  <c r="C42" i="4"/>
  <c r="C43" i="4"/>
  <c r="C44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46" i="4"/>
  <c r="C47" i="4"/>
  <c r="C48" i="4"/>
  <c r="C49" i="4"/>
  <c r="C50" i="4"/>
  <c r="C5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C21" i="5"/>
  <c r="C22" i="5"/>
  <c r="C23" i="5"/>
  <c r="C24" i="5"/>
  <c r="C25" i="5"/>
  <c r="C26" i="5"/>
  <c r="C5" i="5"/>
  <c r="C6" i="5"/>
  <c r="C7" i="5"/>
  <c r="C8" i="5"/>
  <c r="C9" i="5"/>
  <c r="C10" i="5"/>
  <c r="C11" i="5"/>
  <c r="C12" i="5"/>
  <c r="C27" i="5"/>
  <c r="C28" i="5"/>
  <c r="C29" i="5"/>
  <c r="C30" i="5"/>
  <c r="C31" i="5"/>
  <c r="C32" i="5"/>
  <c r="C33" i="5"/>
  <c r="C34" i="5"/>
  <c r="C13" i="5"/>
  <c r="C14" i="5"/>
  <c r="C15" i="5"/>
  <c r="C35" i="5"/>
  <c r="C36" i="5"/>
  <c r="C37" i="5"/>
  <c r="C38" i="5"/>
  <c r="C16" i="5"/>
  <c r="C17" i="5"/>
  <c r="C18" i="5"/>
  <c r="C19" i="5"/>
  <c r="C39" i="5"/>
  <c r="C20" i="5"/>
  <c r="C2" i="9"/>
  <c r="K5" i="9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<sst xmlns="http://schemas.openxmlformats.org/spreadsheetml/2006/main" count="2582" uniqueCount="176">
  <si>
    <t>Wavelength</t>
  </si>
  <si>
    <t>Importance</t>
  </si>
  <si>
    <t>Run</t>
  </si>
  <si>
    <t>N_0624R13C</t>
  </si>
  <si>
    <t>x121</t>
  </si>
  <si>
    <t>x51</t>
  </si>
  <si>
    <t>x97</t>
  </si>
  <si>
    <t>Wavelength (nm)</t>
  </si>
  <si>
    <t>N_0624R22C</t>
  </si>
  <si>
    <t>P_0624R13C</t>
  </si>
  <si>
    <t>P_0624R22C</t>
  </si>
  <si>
    <t>N_0824R13C</t>
  </si>
  <si>
    <t>N_0824R22C</t>
  </si>
  <si>
    <t>P_0824R13C</t>
  </si>
  <si>
    <t>P_0824R22C</t>
  </si>
  <si>
    <t>Row Labels</t>
  </si>
  <si>
    <t>Grand Total</t>
  </si>
  <si>
    <t>Average of x97</t>
  </si>
  <si>
    <t>Count of Wavelength</t>
  </si>
  <si>
    <t>Count of Wavelength (nm)</t>
  </si>
  <si>
    <t>Column Number</t>
  </si>
  <si>
    <t>Month</t>
  </si>
  <si>
    <t>June</t>
  </si>
  <si>
    <t>August</t>
  </si>
  <si>
    <t>Class #</t>
  </si>
  <si>
    <t>Average Importance (x97)</t>
  </si>
  <si>
    <t>June 2024 Wavelengths of Importance</t>
  </si>
  <si>
    <t>Date</t>
  </si>
  <si>
    <t>Classes</t>
  </si>
  <si>
    <t>August 2024 Wavelengths of Importance</t>
  </si>
  <si>
    <t>3-Class Wavelengths of Importance</t>
  </si>
  <si>
    <t>2-Class Wavelengths of Importance</t>
  </si>
  <si>
    <t>Wavelengths</t>
  </si>
  <si>
    <t>Frequency</t>
  </si>
  <si>
    <t>Source</t>
  </si>
  <si>
    <t>Prediction</t>
  </si>
  <si>
    <t>Interpretation</t>
  </si>
  <si>
    <t>VarImp</t>
  </si>
  <si>
    <t>Associated Chemical (Curran, 1989)</t>
  </si>
  <si>
    <t>Protein, nitrogen (N-H bend, 2nd overtone/C-H stretch/C-O stretch/C=O stretch/C-N stretch)</t>
  </si>
  <si>
    <t>Protein (N-H stretch)</t>
  </si>
  <si>
    <t>Cellulose, protein, nitrogen (CH2 bend, 2nd overtone, C-H deformation, 2nd overtone)</t>
  </si>
  <si>
    <t>Lignin, starch, protein, nitrogen (C-H stretch, 1st overtone)</t>
  </si>
  <si>
    <t>Protein (C-H stretch)</t>
  </si>
  <si>
    <t>X1669.091199  0.2669012591 0.804</t>
  </si>
  <si>
    <t>X1672.893228  0.2586524055 0.580</t>
  </si>
  <si>
    <t>X1665.306413  0.2356501368 0.792</t>
  </si>
  <si>
    <t>X1676.712617  0.2013589995 0.092</t>
  </si>
  <si>
    <t>X1434.375318 -0.1782285699 0.420</t>
  </si>
  <si>
    <t>X1765.384887 -0.1757326116 0.016</t>
  </si>
  <si>
    <t>X1431.579266 -0.1753715782 0.304</t>
  </si>
  <si>
    <t>X1661.538753  0.1744151528 0.480</t>
  </si>
  <si>
    <t>X1769.638825 -0.1721878455 0.052</t>
  </si>
  <si>
    <t>X1761.151352 -0.1647574558    NA</t>
  </si>
  <si>
    <t>X1773.913313 -0.1561938652 0.172</t>
  </si>
  <si>
    <t>X1437.182314 -0.1554541869 0.336</t>
  </si>
  <si>
    <t>X1428.794093 -0.1526216166 0.104</t>
  </si>
  <si>
    <t>X1892.783747 -0.1440341824 0.172</t>
  </si>
  <si>
    <t>X1836.000256  0.1345834541 0.308</t>
  </si>
  <si>
    <t>X1840.601759  0.1337496373 0.220</t>
  </si>
  <si>
    <t>X1897.674659 -0.1328269007 0.008</t>
  </si>
  <si>
    <t>X1831.421703  0.1317731766 0.388</t>
  </si>
  <si>
    <t>X1968.901025 -0.1290822834 0.152</t>
  </si>
  <si>
    <t>X1845.226384  0.1290650931 0.140</t>
  </si>
  <si>
    <t>X1887.917981 -0.1263433195 0.608</t>
  </si>
  <si>
    <t>X1826.86593   0.1244835734 0.468</t>
  </si>
  <si>
    <t>X1778.208501 -0.1243386011 0.440</t>
  </si>
  <si>
    <t>X1974.193768 -0.1218541084 0.004</t>
  </si>
  <si>
    <t>X1377.861485  0.1192698176 0.148</t>
  </si>
  <si>
    <t>X1849.874308  0.1186272092 0.072</t>
  </si>
  <si>
    <t>X1380.451449  0.1142258481 0.096</t>
  </si>
  <si>
    <t>X1756.938072 -0.1141110579 0.020</t>
  </si>
  <si>
    <t>X1822.332765  0.1118576152 0.552</t>
  </si>
  <si>
    <t>X1426.019736 -0.1103235816 0.004</t>
  </si>
  <si>
    <t>X1375.28122   0.1053275956 0.332</t>
  </si>
  <si>
    <t>X2062.92154   0.1037495046 0.932</t>
  </si>
  <si>
    <t>X1440.000318 -0.1036285463 0.176</t>
  </si>
  <si>
    <t>X1963.636586 -0.1024529231 0.632</t>
  </si>
  <si>
    <t>X1854.545706  0.0978640073 0.008</t>
  </si>
  <si>
    <t>X1902.590913 -0.0957959659    NA</t>
  </si>
  <si>
    <t>X1396.198039 -0.0951906928 0.004</t>
  </si>
  <si>
    <t>X1817.822042  0.0946102592 0.624</t>
  </si>
  <si>
    <t>X1680.549487  0.0941243144    NA</t>
  </si>
  <si>
    <t>X2068.732584  0.0939915734 0.824</t>
  </si>
  <si>
    <t>X1657.788102  0.0938651115 0.072</t>
  </si>
  <si>
    <t>X1398.857463 -0.0916151269 0.264</t>
  </si>
  <si>
    <t>X2324.050724  0.0823996781 0.456</t>
  </si>
  <si>
    <t>X1383.051169  0.0816865649 0.112</t>
  </si>
  <si>
    <t>X2331.42866   0.0795214795 0.824</t>
  </si>
  <si>
    <t>X1979.515043 -0.0776297934 0.184</t>
  </si>
  <si>
    <t>X1813.333595  0.0752857506 0.568</t>
  </si>
  <si>
    <t>X2431.788122 -0.0737708087 0.048</t>
  </si>
  <si>
    <t>X1782.52454  -0.0735533326 0.816</t>
  </si>
  <si>
    <t>X1883.077167 -0.0729246844 0.936</t>
  </si>
  <si>
    <t>X2316.719338  0.0727966736 0.264</t>
  </si>
  <si>
    <t>X1372.710602  0.0711699966 0.652</t>
  </si>
  <si>
    <t>X2057.143051  0.0649970261 0.980</t>
  </si>
  <si>
    <t>X2439.867148 -0.0630336215 0.036</t>
  </si>
  <si>
    <t>X2110.345003  0.0622179018    NA</t>
  </si>
  <si>
    <t>X2423.762422 -0.0600744905 0.036</t>
  </si>
  <si>
    <t>X2309.43406   0.0587311412 0.168</t>
  </si>
  <si>
    <t>X1859.240757  0.0576013282    NA</t>
  </si>
  <si>
    <t>X1401.527038 -0.0573745816 0.824</t>
  </si>
  <si>
    <t>X2116.426686  0.0571187972 0.004</t>
  </si>
  <si>
    <t>X1732.07575   0.0562921887 0.160</t>
  </si>
  <si>
    <t>X2266.666783  0.0547729327 0.004</t>
  </si>
  <si>
    <t>X1958.400224 -0.0508361888 0.876</t>
  </si>
  <si>
    <t>X1423.256133 -0.0508320831 0.196</t>
  </si>
  <si>
    <t>X1607.002488  0.0501837333 0.860</t>
  </si>
  <si>
    <t>X2415.789523 -0.0490128839 0.032</t>
  </si>
  <si>
    <t>X1610.526615  0.0476248745 0.840</t>
  </si>
  <si>
    <t>X1808.867257  0.0474355199 0.176</t>
  </si>
  <si>
    <t>X2074.576459  0.0465875015 0.532</t>
  </si>
  <si>
    <t>X2166.371837  0.0420467251 0.160</t>
  </si>
  <si>
    <t>X2302.194458  0.0416894760 0.128</t>
  </si>
  <si>
    <t>X2104.298172  0.0416127642 0.016</t>
  </si>
  <si>
    <t>X2259.692427  0.0410573334 0.016</t>
  </si>
  <si>
    <t>X1728.000279  0.0405963377 0.484</t>
  </si>
  <si>
    <t>X2407.868906 -0.0405197959 0.032</t>
  </si>
  <si>
    <t>X1907.532705 -0.0370257150 0.004</t>
  </si>
  <si>
    <t>X1442.829394 -0.0354838798 0.060</t>
  </si>
  <si>
    <t>X1393.548708 -0.0343062288 0.016</t>
  </si>
  <si>
    <t>X2122.543524  0.0321472089    NA</t>
  </si>
  <si>
    <t>X1489.655486 -0.0321260440 0.036</t>
  </si>
  <si>
    <t>X2400.000057 -0.0303074768 0.064</t>
  </si>
  <si>
    <t>X1736.17049   0.0268238827 0.004</t>
  </si>
  <si>
    <t>X2172.781218  0.0259692472 0.112</t>
  </si>
  <si>
    <t>X1984.865081 -0.0248690218 0.700</t>
  </si>
  <si>
    <t>X2160.000158  0.0241880343 0.116</t>
  </si>
  <si>
    <t>X2338.853588  0.0237978568 0.996</t>
  </si>
  <si>
    <t>X2295.000104  0.0234648310 0.108</t>
  </si>
  <si>
    <t>X1603.49375   0.0218381561 0.604</t>
  </si>
  <si>
    <t>X1486.63999  -0.0198797056 0.020</t>
  </si>
  <si>
    <t>X1370.149576  0.0142296495 0.856</t>
  </si>
  <si>
    <t>X1492.68324  -0.0140717012 0.044</t>
  </si>
  <si>
    <t>X2392.182471 -0.0134143725 0.108</t>
  </si>
  <si>
    <t>X2273.684324  0.0131676448 0.032</t>
  </si>
  <si>
    <t>X1404.206821 -0.0126295461 0.988</t>
  </si>
  <si>
    <t>X1654.054346  0.0097110370 0.020</t>
  </si>
  <si>
    <t>X2287.850574  0.0076090257 0.100</t>
  </si>
  <si>
    <t>X1786.861581 -0.0043781302 0.960</t>
  </si>
  <si>
    <t>X1723.943942  0.0038707276 0.704</t>
  </si>
  <si>
    <t>X2098.285894  0.0034612258 0.028</t>
  </si>
  <si>
    <t>X2280.745452  0.0005095259 0.064</t>
  </si>
  <si>
    <t xml:space="preserve">                                       value.var             freq</t>
  </si>
  <si>
    <t>P_0824R22C - 2 component</t>
  </si>
  <si>
    <t>Class</t>
  </si>
  <si>
    <t>Method</t>
  </si>
  <si>
    <t>Associated Vibration and Chemical (Curran, 1989)</t>
  </si>
  <si>
    <t>CH2 bend, 2nd overtone, C-H deformation, 2nd overtone (Cellulose, protein, nitrogen)</t>
  </si>
  <si>
    <t>N-H Stretch (Protein)</t>
  </si>
  <si>
    <t>O-H deformation, C-O deformation (Starch)</t>
  </si>
  <si>
    <t>O-H stretch, first overtone (Starch, sugar)</t>
  </si>
  <si>
    <t>Tissue</t>
  </si>
  <si>
    <t>Needles</t>
  </si>
  <si>
    <t>Phloem</t>
  </si>
  <si>
    <t>2.13-2.18 - Protein - Protein,nitrogen</t>
  </si>
  <si>
    <t>2.10-2.13- Starch, cellulose - Protein</t>
  </si>
  <si>
    <t>&gt; 2.35 - cellulose, protein, nitrogen</t>
  </si>
  <si>
    <t>1.45-1.49 - starch, sugar, lignin, water - cellulose, sugar</t>
  </si>
  <si>
    <t>1.42 - 1.49 - lignin - starch, sugar, lignin, water</t>
  </si>
  <si>
    <t>2.10-2.13 - starch, cellulose - protein</t>
  </si>
  <si>
    <t>2.00- 2.06 - starch - protein, nitrogen</t>
  </si>
  <si>
    <t>1.58-1.69 - starch,sugar-lignin,starch,protein,nitrogen</t>
  </si>
  <si>
    <t>1.78-1.82 - cellulose,sugar,starch-cellulose</t>
  </si>
  <si>
    <t>1.42-1.45 - lignin - starch,sugar,lignin,water</t>
  </si>
  <si>
    <t>1.45-1.49 - starch,sugar,lignin,water-cellulose,sugar</t>
  </si>
  <si>
    <t>1.69-1.78-lignin,starch,protein,nitrogen-cellulose,sugar,starch</t>
  </si>
  <si>
    <t>2.18-2.24-protein,nitrogen-protein</t>
  </si>
  <si>
    <t>1.82-1.90-cellulose-starch</t>
  </si>
  <si>
    <t>Corresponding Chemical  (curran 1989)</t>
  </si>
  <si>
    <t>Associated Chemical(s) (Curran, 1989)</t>
  </si>
  <si>
    <t>Starch, cellulose, protein</t>
  </si>
  <si>
    <t>Protein, nitrogen</t>
  </si>
  <si>
    <t>Starch, sugar, lignin, water, cellulose</t>
  </si>
  <si>
    <t>Cellulose, protein, 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</si>
</sst>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0" fillId="0" borderId="10" xfId="0" applyBorder="1"/>
    <xf numFmtId="0" fontId="0" fillId="0" borderId="0" xfId="0" applyAlignment="1">
      <alignment horizontal="center"/>
    </xf>
    <xf numFmtId="0" fontId="1" fillId="2" borderId="11" xfId="0" applyFont="1" applyFill="1" applyBorder="1"/>
    <xf numFmtId="0" fontId="0" fillId="3" borderId="11" xfId="0" applyFill="1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arrott" refreshedDate="45810.504819560185" createdVersion="8" refreshedVersion="8" minRefreshableVersion="3" recordCount="38" xr:uid="{81AF25EC-B003-47A2-BB44-64FDC9D09D21}">
  <cacheSource type="worksheet">
    <worksheetSource ref="A1:D39" sheet="Prediction"/>
  </cacheSource>
  <cacheFields count="3">
    <cacheField name="Run" numFmtId="0">
      <sharedItems/>
    </cacheField>
    <cacheField name="Wavelength" numFmtId="0">
      <sharedItems containsSemiMixedTypes="0" containsString="0" containsNumber="1" minValue="1420.5032200000001" maxValue="2423.7624219999998" count="35">
        <n v="1672.8932279999999"/>
        <n v="1669.091199"/>
        <n v="1549.3673960000001"/>
        <n v="2160.0001579999998"/>
        <n v="1511.1114219999999"/>
        <n v="2400.0000570000002"/>
        <n v="1665.306413"/>
        <n v="1661.538753"/>
        <n v="1990.244117"/>
        <n v="1471.743802"/>
        <n v="2134.8838879999998"/>
        <n v="2141.1080360000001"/>
        <n v="2384.415649"/>
        <n v="2034.3492309999999"/>
        <n v="2369.03233"/>
        <n v="2361.4148660000001"/>
        <n v="2166.3718370000001"/>
        <n v="2045.6826490000001"/>
        <n v="2153.665849"/>
        <n v="1420.5032200000001"/>
        <n v="1462.948523"/>
        <n v="2353.8462319999999"/>
        <n v="1696.074188"/>
        <n v="2001.09013"/>
        <n v="2172.7812180000001"/>
        <n v="1963.6365860000001"/>
        <n v="1624.7790580000001"/>
        <n v="2122.5435240000002"/>
        <n v="2179.2286370000002" u="1"/>
        <n v="2185.714434" u="1"/>
        <n v="2423.7624219999998" u="1"/>
        <n v="1428.794093" u="1"/>
        <n v="1657.788102" u="1"/>
        <n v="1539.6229499999999" u="1"/>
        <n v="1661.53873" u="1"/>
      </sharedItems>
    </cacheField>
    <cacheField name="Column Number" numFmtId="0">
      <sharedItems containsSemiMixedTypes="0" containsString="0" containsNumber="1" containsInteger="1" minValue="19" maxValue="233" count="32">
        <n v="155"/>
        <n v="156"/>
        <n v="190"/>
        <n v="56"/>
        <n v="202"/>
        <n v="22"/>
        <n v="157"/>
        <n v="158"/>
        <n v="85"/>
        <n v="215"/>
        <n v="60"/>
        <n v="59"/>
        <n v="24"/>
        <n v="77"/>
        <n v="26"/>
        <n v="27"/>
        <n v="55"/>
        <n v="75"/>
        <n v="57"/>
        <n v="233"/>
        <n v="218"/>
        <n v="28"/>
        <n v="149"/>
        <n v="83"/>
        <n v="54"/>
        <n v="90"/>
        <n v="168"/>
        <n v="62"/>
        <n v="53" u="1"/>
        <n v="52" u="1"/>
        <n v="19" u="1"/>
        <n v="23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arrott" refreshedDate="45810.504865625" createdVersion="8" refreshedVersion="8" minRefreshableVersion="3" recordCount="121" xr:uid="{1B56701A-43ED-4E32-A8CA-1F7016CCB5ED}">
  <cacheSource type="worksheet">
    <worksheetSource ref="A2:D123" sheet="Interpretation"/>
  </cacheSource>
  <cacheFields count="3">
    <cacheField name="Run" numFmtId="0">
      <sharedItems/>
    </cacheField>
    <cacheField name="Wavelength" numFmtId="0">
      <sharedItems containsSemiMixedTypes="0" containsString="0" containsNumber="1" minValue="1420.5032200000001" maxValue="2541.1764579999999" count="86">
        <n v="2353.8462319999999"/>
        <n v="1676.7126169999999"/>
        <n v="1672.8932279999999"/>
        <n v="1669.091199"/>
        <n v="1526.819436"/>
        <n v="1549.3673960000001"/>
        <n v="2160.0001579999998"/>
        <n v="1511.1114219999999"/>
        <n v="2153.665849"/>
        <n v="2166.3718370000001"/>
        <n v="2400.0000570000002"/>
        <n v="1665.306413"/>
        <n v="2147.3685829999999"/>
        <n v="2034.3492309999999"/>
        <n v="2172.7812180000001"/>
        <n v="1661.538753"/>
        <n v="2392.1824710000001"/>
        <n v="1514.2271149999999"/>
        <n v="2028.729484"/>
        <n v="2324.0507240000002"/>
        <n v="2141.1080360000001"/>
        <n v="2407.8689060000002"/>
        <n v="1990.244117"/>
        <n v="1471.743802"/>
        <n v="2134.8838879999998"/>
        <n v="2128.6958209999998"/>
        <n v="2384.415649"/>
        <n v="2122.5435240000002"/>
        <n v="2376.6990970000002"/>
        <n v="2369.03233"/>
        <n v="2040.0001990000001"/>
        <n v="2361.4148660000001"/>
        <n v="2116.4266859999998"/>
        <n v="2045.6826490000001"/>
        <n v="2023.1406999999999"/>
        <n v="2423.7624219999998"/>
        <n v="2415.7895229999999"/>
        <n v="1420.5032200000001"/>
        <n v="2205.405546"/>
        <n v="1462.948523"/>
        <n v="1719.906604"/>
        <n v="2309.43406"/>
        <n v="1984.8650809999999"/>
        <n v="1696.074188"/>
        <n v="2001.09013"/>
        <n v="1692.1661839999999"/>
        <n v="1468.800315"/>
        <n v="2346.3259600000001"/>
        <n v="2179.2286370000002"/>
        <n v="1621.19235"/>
        <n v="1863.95964"/>
        <n v="1963.6365860000001"/>
        <n v="1624.7790580000001"/>
        <n v="1628.3816710000001"/>
        <n v="2185.714434"/>
        <n v="1958.400224"/>
        <n v="1657.788102"/>
        <n v="1632.0002959999999"/>
        <n v="1878.261115"/>
        <n v="1922.5133229999999"/>
        <n v="1635.635039"/>
        <n v="1873.4696349999999"/>
        <n v="1907.5327050000001"/>
        <n v="1912.500237"/>
        <n v="1868.702538"/>
        <n v="1728.0002790000001"/>
        <n v="1917.493708"/>
        <n v="1822.3327650000001"/>
        <n v="1817.822042"/>
        <n v="2239.0245169999998"/>
        <n v="2051.396843"/>
        <n v="1603.4937500000001"/>
        <n v="1953.1917149999999"/>
        <n v="1428.794093"/>
        <n v="1859.240757"/>
        <n v="2431.7881219999999"/>
        <n v="2506.4846470000002"/>
        <n v="2541.1764579999999"/>
        <n v="1826.8659299999999"/>
        <n v="1979.5150430000001" u="1"/>
        <n v="2439.8671479999998" u="1"/>
        <n v="2225.4546780000001" u="1"/>
        <n v="1732.07575" u="1"/>
        <n v="2331.42866" u="1"/>
        <n v="1517.3556819999999" u="1"/>
        <n v="1539.6229499999999" u="1"/>
      </sharedItems>
    </cacheField>
    <cacheField name="Column Number" numFmtId="0">
      <sharedItems containsSemiMixedTypes="0" containsString="0" containsNumber="1" containsInteger="1" minValue="5" maxValue="233" count="84">
        <n v="28"/>
        <n v="154"/>
        <n v="155"/>
        <n v="156"/>
        <n v="197"/>
        <n v="190"/>
        <n v="56"/>
        <n v="202"/>
        <n v="57"/>
        <n v="55"/>
        <n v="22"/>
        <n v="157"/>
        <n v="58"/>
        <n v="77"/>
        <n v="54"/>
        <n v="158"/>
        <n v="23"/>
        <n v="201"/>
        <n v="78"/>
        <n v="32"/>
        <n v="59"/>
        <n v="21"/>
        <n v="85"/>
        <n v="215"/>
        <n v="60"/>
        <n v="61"/>
        <n v="24"/>
        <n v="62"/>
        <n v="25"/>
        <n v="26"/>
        <n v="76"/>
        <n v="27"/>
        <n v="63"/>
        <n v="75"/>
        <n v="79"/>
        <n v="19"/>
        <n v="20"/>
        <n v="233"/>
        <n v="49"/>
        <n v="218"/>
        <n v="143"/>
        <n v="34"/>
        <n v="86"/>
        <n v="149"/>
        <n v="83"/>
        <n v="150"/>
        <n v="216"/>
        <n v="29"/>
        <n v="53"/>
        <n v="169"/>
        <n v="110"/>
        <n v="90"/>
        <n v="168"/>
        <n v="167"/>
        <n v="52"/>
        <n v="91"/>
        <n v="159"/>
        <n v="166"/>
        <n v="107"/>
        <n v="98"/>
        <n v="165"/>
        <n v="108"/>
        <n v="101"/>
        <n v="100"/>
        <n v="109"/>
        <n v="141"/>
        <n v="99"/>
        <n v="119"/>
        <n v="120"/>
        <n v="44"/>
        <n v="74"/>
        <n v="174"/>
        <n v="92"/>
        <n v="230"/>
        <n v="111"/>
        <n v="18"/>
        <n v="9"/>
        <n v="5"/>
        <n v="118"/>
        <n v="87" u="1"/>
        <n v="17" u="1"/>
        <n v="46" u="1"/>
        <n v="140" u="1"/>
        <n v="5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arrott" refreshedDate="45810.604733333334" createdVersion="8" refreshedVersion="8" minRefreshableVersion="3" recordCount="160" xr:uid="{25D712F2-4FF8-4984-83B8-B7B3962266EE}">
  <cacheSource type="worksheet">
    <worksheetSource ref="A2:G162" sheet="VarImp"/>
  </cacheSource>
  <cacheFields count="7">
    <cacheField name="Run" numFmtId="0">
      <sharedItems/>
    </cacheField>
    <cacheField name="Month" numFmtId="0">
      <sharedItems count="2">
        <s v="June"/>
        <s v="August"/>
      </sharedItems>
    </cacheField>
    <cacheField name="Class #" numFmtId="0">
      <sharedItems containsSemiMixedTypes="0" containsString="0" containsNumber="1" containsInteger="1" minValue="2" maxValue="3"/>
    </cacheField>
    <cacheField name="Wavelength (nm)" numFmtId="0">
      <sharedItems containsSemiMixedTypes="0" containsString="0" containsNumber="1" minValue="1360.0003220000001" maxValue="2497.9591930000001" count="99">
        <n v="2324.0507240000002"/>
        <n v="1665.306413"/>
        <n v="1360.0003220000001"/>
        <n v="1508.008525"/>
        <n v="1661.538753"/>
        <n v="2266.6667830000001"/>
        <n v="1610.526615"/>
        <n v="2302.1944579999999"/>
        <n v="2456.1873209999999"/>
        <n v="2068.7325839999999"/>
        <n v="2309.43406"/>
        <n v="1892.7837469999999"/>
        <n v="1442.8293940000001"/>
        <n v="1460.0400770000001"/>
        <n v="2497.9591930000001"/>
        <n v="2295.0001040000002"/>
        <n v="2472.7272950000001"/>
        <n v="2400.0000570000002"/>
        <n v="1822.3327650000001"/>
        <n v="2198.8025379999999"/>
        <n v="2153.665849"/>
        <n v="1511.1114219999999"/>
        <n v="2160.0001579999998"/>
        <n v="2407.8689060000002"/>
        <n v="1471.743802"/>
        <n v="1533.194463"/>
        <n v="2141.1080360000001"/>
        <n v="1669.091199"/>
        <n v="1495.7233269999999"/>
        <n v="2172.7812180000001"/>
        <n v="2017.5826239999999"/>
        <n v="2001.09013"/>
        <n v="1800.000264"/>
        <n v="1912.500237"/>
        <n v="1468.800315"/>
        <n v="2166.3718370000001"/>
        <n v="2134.8838879999998"/>
        <n v="2128.6958209999998"/>
        <n v="2384.415649"/>
        <n v="2369.03233"/>
        <n v="1420.5032200000001"/>
        <n v="2376.6990970000002"/>
        <n v="2147.3685829999999"/>
        <n v="2051.396843"/>
        <n v="2392.1824710000001"/>
        <n v="2361.4148660000001"/>
        <n v="2034.3492309999999"/>
        <n v="2423.7624219999998"/>
        <n v="2006.557587"/>
        <n v="2415.7895229999999"/>
        <n v="1365.0560840000001"/>
        <n v="2122.5435240000002"/>
        <n v="2023.1406999999999"/>
        <n v="1462.948523"/>
        <n v="2116.4266859999998"/>
        <n v="1428.794093"/>
        <n v="2028.729484"/>
        <n v="2431.7881219999999"/>
        <n v="1465.868579"/>
        <n v="2353.8462319999999"/>
        <n v="1696.074188"/>
        <n v="1878.261115"/>
        <n v="2346.3259600000001"/>
        <n v="1700.000284"/>
        <n v="1711.8883940000001"/>
        <n v="2316.7193379999999"/>
        <n v="1984.8650809999999"/>
        <n v="2280.7454520000001"/>
        <n v="2273.6843239999998"/>
        <n v="2287.8505740000001"/>
        <n v="1715.888132"/>
        <n v="2040.0001990000001"/>
        <n v="1692.1661839999999"/>
        <n v="1963.6365860000001"/>
        <n v="1409.5972489999999"/>
        <n v="1958.400224"/>
        <n v="1635.635039"/>
        <n v="1953.1917149999999"/>
        <n v="1632.0002959999999"/>
        <n v="1995.6523870000001"/>
        <n v="1412.308012"/>
        <n v="1922.5133229999999"/>
        <n v="2179.2286370000002"/>
        <n v="1628.3816710000001"/>
        <n v="1624.7790580000001"/>
        <n v="1593.0588700000001"/>
        <n v="1826.8659299999999"/>
        <n v="1752.7449039999999"/>
        <n v="1657.788102"/>
        <n v="2185.714434"/>
        <n v="2192.2389520000002"/>
        <n v="1813.3335950000001"/>
        <n v="1642.9533140000001"/>
        <n v="1817.822042"/>
        <n v="1672.8932279999999"/>
        <n v="2448.0000340000001"/>
        <n v="1808.8672570000001"/>
        <n v="1412.3081199999999" u="1"/>
        <n v="1360.0032200000001" u="1"/>
      </sharedItems>
    </cacheField>
    <cacheField name="x121" numFmtId="0">
      <sharedItems containsString="0" containsBlank="1" containsNumber="1" minValue="0.81710000000000005" maxValue="100"/>
    </cacheField>
    <cacheField name="x51" numFmtId="0">
      <sharedItems containsString="0" containsBlank="1" containsNumber="1" minValue="9.1620000000000008" maxValue="100"/>
    </cacheField>
    <cacheField name="x97" numFmtId="0">
      <sharedItems containsSemiMixedTypes="0" containsString="0" containsNumber="1" minValue="1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arrott" refreshedDate="45810.60551238426" createdVersion="8" refreshedVersion="8" minRefreshableVersion="3" recordCount="80" xr:uid="{013D4747-CA05-484C-A9E1-63E266F7F9DD}">
  <cacheSource type="worksheet">
    <worksheetSource ref="A2:G82" sheet="VarImp"/>
  </cacheSource>
  <cacheFields count="7">
    <cacheField name="Run" numFmtId="0">
      <sharedItems/>
    </cacheField>
    <cacheField name="Month" numFmtId="0">
      <sharedItems/>
    </cacheField>
    <cacheField name="Class #" numFmtId="0">
      <sharedItems containsSemiMixedTypes="0" containsString="0" containsNumber="1" containsInteger="1" minValue="2" maxValue="3"/>
    </cacheField>
    <cacheField name="Wavelength (nm)" numFmtId="0">
      <sharedItems containsSemiMixedTypes="0" containsString="0" containsNumber="1" minValue="1360.0003220000001" maxValue="2497.9591930000001" count="59">
        <n v="2324.0507240000002"/>
        <n v="1665.306413"/>
        <n v="1360.0003220000001"/>
        <n v="1508.008525"/>
        <n v="1661.538753"/>
        <n v="2266.6667830000001"/>
        <n v="1610.526615"/>
        <n v="2302.1944579999999"/>
        <n v="2456.1873209999999"/>
        <n v="2068.7325839999999"/>
        <n v="2309.43406"/>
        <n v="1892.7837469999999"/>
        <n v="1442.8293940000001"/>
        <n v="1460.0400770000001"/>
        <n v="2497.9591930000001"/>
        <n v="2295.0001040000002"/>
        <n v="2472.7272950000001"/>
        <n v="2400.0000570000002"/>
        <n v="1822.3327650000001"/>
        <n v="2198.8025379999999"/>
        <n v="2153.665849"/>
        <n v="1511.1114219999999"/>
        <n v="2160.0001579999998"/>
        <n v="2407.8689060000002"/>
        <n v="1471.743802"/>
        <n v="1533.194463"/>
        <n v="2141.1080360000001"/>
        <n v="1669.091199"/>
        <n v="1495.7233269999999"/>
        <n v="2172.7812180000001"/>
        <n v="2017.5826239999999"/>
        <n v="2001.09013"/>
        <n v="1800.000264"/>
        <n v="1912.500237"/>
        <n v="1468.800315"/>
        <n v="2166.3718370000001"/>
        <n v="2134.8838879999998"/>
        <n v="2128.6958209999998"/>
        <n v="2384.415649"/>
        <n v="2369.03233"/>
        <n v="1420.5032200000001"/>
        <n v="2376.6990970000002"/>
        <n v="2147.3685829999999"/>
        <n v="2051.396843"/>
        <n v="2392.1824710000001"/>
        <n v="2361.4148660000001"/>
        <n v="2034.3492309999999"/>
        <n v="2423.7624219999998"/>
        <n v="2006.557587"/>
        <n v="2415.7895229999999"/>
        <n v="1365.0560840000001"/>
        <n v="2122.5435240000002"/>
        <n v="2023.1406999999999"/>
        <n v="1462.948523"/>
        <n v="2116.4266859999998"/>
        <n v="1428.794093"/>
        <n v="2028.729484"/>
        <n v="2431.7881219999999"/>
        <n v="1465.868579"/>
      </sharedItems>
    </cacheField>
    <cacheField name="x121" numFmtId="0">
      <sharedItems containsString="0" containsBlank="1" containsNumber="1" minValue="10.9" maxValue="100"/>
    </cacheField>
    <cacheField name="x51" numFmtId="0">
      <sharedItems containsString="0" containsBlank="1" containsNumber="1" minValue="9.1620000000000008" maxValue="85.6"/>
    </cacheField>
    <cacheField name="x97" numFmtId="0">
      <sharedItems containsSemiMixedTypes="0" containsString="0" containsNumber="1" minValue="1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arrott" refreshedDate="45810.609058680559" createdVersion="8" refreshedVersion="8" minRefreshableVersion="3" recordCount="80" xr:uid="{BBAFB862-1246-4ADA-9867-2831346E796B}">
  <cacheSource type="worksheet">
    <worksheetSource ref="U1:AA81" sheet="VarImp"/>
  </cacheSource>
  <cacheFields count="7">
    <cacheField name="Run" numFmtId="0">
      <sharedItems/>
    </cacheField>
    <cacheField name="Date" numFmtId="0">
      <sharedItems/>
    </cacheField>
    <cacheField name="Classes" numFmtId="0">
      <sharedItems containsSemiMixedTypes="0" containsString="0" containsNumber="1" containsInteger="1" minValue="2" maxValue="3"/>
    </cacheField>
    <cacheField name="Wavelength (nm)" numFmtId="0">
      <sharedItems containsSemiMixedTypes="0" containsString="0" containsNumber="1" minValue="1409.5972489999999" maxValue="2448.0000340000001" count="62">
        <n v="2361.4148660000001"/>
        <n v="2369.03233"/>
        <n v="2353.8462319999999"/>
        <n v="2376.6990970000002"/>
        <n v="1696.074188"/>
        <n v="2384.415649"/>
        <n v="2309.43406"/>
        <n v="1878.261115"/>
        <n v="2346.3259600000001"/>
        <n v="2295.0001040000002"/>
        <n v="1700.000284"/>
        <n v="1711.8883940000001"/>
        <n v="2302.1944579999999"/>
        <n v="2316.7193379999999"/>
        <n v="1984.8650809999999"/>
        <n v="2280.7454520000001"/>
        <n v="2273.6843239999998"/>
        <n v="2287.8505740000001"/>
        <n v="1715.888132"/>
        <n v="2040.0001990000001"/>
        <n v="2001.09013"/>
        <n v="1692.1661839999999"/>
        <n v="1963.6365860000001"/>
        <n v="1409.5972489999999"/>
        <n v="2006.557587"/>
        <n v="1958.400224"/>
        <n v="1669.091199"/>
        <n v="1635.635039"/>
        <n v="1953.1917149999999"/>
        <n v="1632.0002959999999"/>
        <n v="1468.800315"/>
        <n v="1995.6523870000001"/>
        <n v="1471.743802"/>
        <n v="1412.308012"/>
        <n v="2172.7812180000001"/>
        <n v="2160.0001579999998"/>
        <n v="1922.5133229999999"/>
        <n v="2166.3718370000001"/>
        <n v="2141.1080360000001"/>
        <n v="2153.665849"/>
        <n v="2147.3685829999999"/>
        <n v="2179.2286370000002"/>
        <n v="2051.396843"/>
        <n v="1661.538753"/>
        <n v="2134.8838879999998"/>
        <n v="1628.3816710000001"/>
        <n v="1624.7790580000001"/>
        <n v="1593.0588700000001"/>
        <n v="1826.8659299999999"/>
        <n v="1752.7449039999999"/>
        <n v="1822.3327650000001"/>
        <n v="1657.788102"/>
        <n v="2185.714434"/>
        <n v="2122.5435240000002"/>
        <n v="2192.2389520000002"/>
        <n v="1813.3335950000001"/>
        <n v="1642.9533140000001"/>
        <n v="1817.822042"/>
        <n v="1665.306413"/>
        <n v="1672.8932279999999"/>
        <n v="2448.0000340000001"/>
        <n v="1808.8672570000001"/>
      </sharedItems>
    </cacheField>
    <cacheField name="x121" numFmtId="0">
      <sharedItems containsString="0" containsBlank="1" containsNumber="1" minValue="0.81710000000000005" maxValue="100"/>
    </cacheField>
    <cacheField name="x51" numFmtId="0">
      <sharedItems containsString="0" containsBlank="1" containsNumber="1" minValue="25.09" maxValue="100"/>
    </cacheField>
    <cacheField name="x97" numFmtId="0">
      <sharedItems containsSemiMixedTypes="0" containsString="0" containsNumber="1" minValue="12.4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arrott" refreshedDate="45810.613333680558" createdVersion="8" refreshedVersion="8" minRefreshableVersion="3" recordCount="80" xr:uid="{036BD234-161B-444D-A925-F81D1BBA2F29}">
  <cacheSource type="worksheet">
    <worksheetSource ref="AC1:AI81" sheet="VarImp"/>
  </cacheSource>
  <cacheFields count="7">
    <cacheField name="Run" numFmtId="0">
      <sharedItems/>
    </cacheField>
    <cacheField name="Date" numFmtId="0">
      <sharedItems/>
    </cacheField>
    <cacheField name="Classes" numFmtId="0">
      <sharedItems containsSemiMixedTypes="0" containsString="0" containsNumber="1" containsInteger="1" minValue="3" maxValue="3"/>
    </cacheField>
    <cacheField name="Wavelengths" numFmtId="0">
      <sharedItems containsSemiMixedTypes="0" containsString="0" containsNumber="1" minValue="1360.0003220000001" maxValue="2497.9591930000001" count="64">
        <n v="2324.0507240000002"/>
        <n v="1665.306413"/>
        <n v="1360.0003220000001"/>
        <n v="1508.008525"/>
        <n v="1661.538753"/>
        <n v="2266.6667830000001"/>
        <n v="1610.526615"/>
        <n v="2302.1944579999999"/>
        <n v="2456.1873209999999"/>
        <n v="2068.7325839999999"/>
        <n v="2309.43406"/>
        <n v="1892.7837469999999"/>
        <n v="1442.8293940000001"/>
        <n v="1460.0400770000001"/>
        <n v="2497.9591930000001"/>
        <n v="2295.0001040000002"/>
        <n v="2472.7272950000001"/>
        <n v="2400.0000570000002"/>
        <n v="1822.3327650000001"/>
        <n v="2198.8025379999999"/>
        <n v="2134.8838879999998"/>
        <n v="2128.6958209999998"/>
        <n v="2153.665849"/>
        <n v="2160.0001579999998"/>
        <n v="2384.415649"/>
        <n v="2141.1080360000001"/>
        <n v="2369.03233"/>
        <n v="1420.5032200000001"/>
        <n v="2376.6990970000002"/>
        <n v="2147.3685829999999"/>
        <n v="2051.396843"/>
        <n v="2392.1824710000001"/>
        <n v="2361.4148660000001"/>
        <n v="2166.3718370000001"/>
        <n v="2034.3492309999999"/>
        <n v="2423.7624219999998"/>
        <n v="2006.557587"/>
        <n v="2415.7895229999999"/>
        <n v="1365.0560840000001"/>
        <n v="2122.5435240000002"/>
        <n v="2353.8462319999999"/>
        <n v="1696.074188"/>
        <n v="1878.261115"/>
        <n v="2346.3259600000001"/>
        <n v="1700.000284"/>
        <n v="1711.8883940000001"/>
        <n v="2316.7193379999999"/>
        <n v="1984.8650809999999"/>
        <n v="2280.7454520000001"/>
        <n v="2273.6843239999998"/>
        <n v="2287.8505740000001"/>
        <n v="1715.888132"/>
        <n v="2040.0001990000001"/>
        <n v="2172.7812180000001"/>
        <n v="1922.5133229999999"/>
        <n v="2179.2286370000002"/>
        <n v="1669.091199"/>
        <n v="1628.3816710000001"/>
        <n v="1632.0002959999999"/>
        <n v="1624.7790580000001"/>
        <n v="1593.0588700000001"/>
        <n v="1826.8659299999999"/>
        <n v="1752.7449039999999"/>
        <n v="1657.788102"/>
      </sharedItems>
    </cacheField>
    <cacheField name="x121" numFmtId="0">
      <sharedItems containsSemiMixedTypes="0" containsString="0" containsNumber="1" minValue="0.81710000000000005" maxValue="100"/>
    </cacheField>
    <cacheField name="x51" numFmtId="0">
      <sharedItems containsSemiMixedTypes="0" containsString="0" containsNumber="1" minValue="9.1620000000000008" maxValue="100"/>
    </cacheField>
    <cacheField name="x97" numFmtId="0">
      <sharedItems containsSemiMixedTypes="0" containsString="0" containsNumber="1" minValue="1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arrott" refreshedDate="45810.614242708332" createdVersion="8" refreshedVersion="8" minRefreshableVersion="3" recordCount="80" xr:uid="{4A009EEB-A0E7-46A2-9F05-234A19C0EE10}">
  <cacheSource type="worksheet">
    <worksheetSource ref="AK1:AQ81" sheet="VarImp"/>
  </cacheSource>
  <cacheFields count="7">
    <cacheField name="Run" numFmtId="0">
      <sharedItems/>
    </cacheField>
    <cacheField name="Date" numFmtId="0">
      <sharedItems/>
    </cacheField>
    <cacheField name="Classes" numFmtId="0">
      <sharedItems containsSemiMixedTypes="0" containsString="0" containsNumber="1" containsInteger="1" minValue="2" maxValue="2"/>
    </cacheField>
    <cacheField name="Wavelengths" numFmtId="0">
      <sharedItems containsSemiMixedTypes="0" containsString="0" containsNumber="1" minValue="1409.5972489999999" maxValue="2456.1873209999999" count="62">
        <n v="2153.665849"/>
        <n v="1511.1114219999999"/>
        <n v="2400.0000570000002"/>
        <n v="2160.0001579999998"/>
        <n v="2407.8689060000002"/>
        <n v="1471.743802"/>
        <n v="2456.1873209999999"/>
        <n v="1533.194463"/>
        <n v="2141.1080360000001"/>
        <n v="1669.091199"/>
        <n v="1495.7233269999999"/>
        <n v="2172.7812180000001"/>
        <n v="1661.538753"/>
        <n v="2017.5826239999999"/>
        <n v="2001.09013"/>
        <n v="1800.000264"/>
        <n v="1912.500237"/>
        <n v="1468.800315"/>
        <n v="2166.3718370000001"/>
        <n v="2295.0001040000002"/>
        <n v="2147.3685829999999"/>
        <n v="2128.6958209999998"/>
        <n v="2122.5435240000002"/>
        <n v="2134.8838879999998"/>
        <n v="2023.1406999999999"/>
        <n v="1462.948523"/>
        <n v="2384.415649"/>
        <n v="2415.7895229999999"/>
        <n v="2116.4266859999998"/>
        <n v="1428.794093"/>
        <n v="2028.729484"/>
        <n v="2431.7881219999999"/>
        <n v="1465.868579"/>
        <n v="2376.6990970000002"/>
        <n v="2423.7624219999998"/>
        <n v="1696.074188"/>
        <n v="2361.4148660000001"/>
        <n v="1692.1661839999999"/>
        <n v="2353.8462319999999"/>
        <n v="1963.6365860000001"/>
        <n v="2369.03233"/>
        <n v="1409.5972489999999"/>
        <n v="1700.000284"/>
        <n v="2006.557587"/>
        <n v="1958.400224"/>
        <n v="2346.3259600000001"/>
        <n v="1635.635039"/>
        <n v="1953.1917149999999"/>
        <n v="1632.0002959999999"/>
        <n v="1995.6523870000001"/>
        <n v="1412.308012"/>
        <n v="2179.2286370000002"/>
        <n v="2185.714434"/>
        <n v="2192.2389520000002"/>
        <n v="1822.3327650000001"/>
        <n v="1813.3335950000001"/>
        <n v="1642.9533140000001"/>
        <n v="1817.822042"/>
        <n v="1665.306413"/>
        <n v="1672.8932279999999"/>
        <n v="2448.0000340000001"/>
        <n v="1808.8672570000001"/>
      </sharedItems>
    </cacheField>
    <cacheField name="x121" numFmtId="0">
      <sharedItems containsNonDate="0" containsString="0" containsBlank="1"/>
    </cacheField>
    <cacheField name="x51" numFmtId="0">
      <sharedItems containsNonDate="0" containsString="0" containsBlank="1"/>
    </cacheField>
    <cacheField name="x97" numFmtId="0">
      <sharedItems containsSemiMixedTypes="0" containsString="0" containsNumber="1" minValue="48.4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arrott" refreshedDate="45812.451093402778" createdVersion="8" refreshedVersion="8" minRefreshableVersion="3" recordCount="320" xr:uid="{3649A5ED-62D4-41C9-8C94-846A590FCB86}">
  <cacheSource type="worksheet">
    <worksheetSource ref="A1:C321" sheet="Bulk Wavelengths"/>
  </cacheSource>
  <cacheFields count="3">
    <cacheField name="Run" numFmtId="0">
      <sharedItems/>
    </cacheField>
    <cacheField name="Wavelength (nm)" numFmtId="0">
      <sharedItems containsSemiMixedTypes="0" containsString="0" containsNumber="1" minValue="1360.0003220000001" maxValue="2541.1764579999999" count="117">
        <n v="2324.0507240000002"/>
        <n v="1665.306413"/>
        <n v="1360.0003220000001"/>
        <n v="1508.008525"/>
        <n v="1661.538753"/>
        <n v="2266.6667830000001"/>
        <n v="1610.526615"/>
        <n v="2302.1944579999999"/>
        <n v="2456.1873209999999"/>
        <n v="2068.7325839999999"/>
        <n v="2309.43406"/>
        <n v="1892.7837469999999"/>
        <n v="1442.8293940000001"/>
        <n v="1460.0400770000001"/>
        <n v="2497.9591930000001"/>
        <n v="2295.0001040000002"/>
        <n v="2472.7272950000001"/>
        <n v="2400.0000570000002"/>
        <n v="1822.3327650000001"/>
        <n v="2198.8025379999999"/>
        <n v="2153.665849"/>
        <n v="1511.1114219999999"/>
        <n v="2160.0001579999998"/>
        <n v="2407.8689060000002"/>
        <n v="1471.743802"/>
        <n v="1533.194463"/>
        <n v="2141.1080360000001"/>
        <n v="1669.091199"/>
        <n v="1495.7233269999999"/>
        <n v="2172.7812180000001"/>
        <n v="2017.5826239999999"/>
        <n v="2001.09013"/>
        <n v="1800.000264"/>
        <n v="1912.500237"/>
        <n v="1468.800315"/>
        <n v="2166.3718370000001"/>
        <n v="2134.8838879999998"/>
        <n v="2128.6958209999998"/>
        <n v="2384.415649"/>
        <n v="2369.03233"/>
        <n v="1420.5032200000001"/>
        <n v="2376.6990970000002"/>
        <n v="2147.3685829999999"/>
        <n v="2051.396843"/>
        <n v="2392.1824710000001"/>
        <n v="2361.4148660000001"/>
        <n v="2034.3492309999999"/>
        <n v="2423.7624219999998"/>
        <n v="2006.557587"/>
        <n v="2415.7895229999999"/>
        <n v="1365.0560840000001"/>
        <n v="2122.5435240000002"/>
        <n v="2023.1406999999999"/>
        <n v="1462.948523"/>
        <n v="2116.4266859999998"/>
        <n v="1428.794093"/>
        <n v="2028.729484"/>
        <n v="2431.7881219999999"/>
        <n v="1465.868579"/>
        <n v="2353.8462319999999"/>
        <n v="1696.074188"/>
        <n v="1878.261115"/>
        <n v="2346.3259600000001"/>
        <n v="1700.000284"/>
        <n v="1711.8883940000001"/>
        <n v="2316.7193379999999"/>
        <n v="1984.8650809999999"/>
        <n v="2280.7454520000001"/>
        <n v="2273.6843239999998"/>
        <n v="2287.8505740000001"/>
        <n v="1715.888132"/>
        <n v="2040.0001990000001"/>
        <n v="1692.1661839999999"/>
        <n v="1963.6365860000001"/>
        <n v="1409.5972489999999"/>
        <n v="1958.400224"/>
        <n v="1635.635039"/>
        <n v="1953.1917149999999"/>
        <n v="1632.0002959999999"/>
        <n v="1995.6523870000001"/>
        <n v="1412.308012"/>
        <n v="1922.5133229999999"/>
        <n v="2179.2286370000002"/>
        <n v="1628.3816710000001"/>
        <n v="1624.7790580000001"/>
        <n v="1593.0588700000001"/>
        <n v="1826.8659299999999"/>
        <n v="1752.7449039999999"/>
        <n v="1657.788102"/>
        <n v="2185.714434"/>
        <n v="2192.2389520000002"/>
        <n v="1813.3335950000001"/>
        <n v="1642.9533140000001"/>
        <n v="1817.822042"/>
        <n v="1672.8932279999999"/>
        <n v="2448.0000340000001"/>
        <n v="1808.8672570000001"/>
        <n v="1676.7126169999999"/>
        <n v="1526.819436"/>
        <n v="1549.3673960000001"/>
        <n v="1514.2271149999999"/>
        <n v="1990.244117"/>
        <n v="2045.6826490000001"/>
        <n v="2205.405546"/>
        <n v="1719.906604"/>
        <n v="1621.19235"/>
        <n v="1863.95964"/>
        <n v="1873.4696349999999"/>
        <n v="1907.5327050000001"/>
        <n v="1868.702538"/>
        <n v="1728.0002790000001"/>
        <n v="1917.493708"/>
        <n v="2239.0245169999998"/>
        <n v="1603.4937500000001"/>
        <n v="1859.240757"/>
        <n v="2506.4846470000002"/>
        <n v="2541.1764579999999"/>
      </sharedItems>
    </cacheField>
    <cacheField name="Source" numFmtId="0">
      <sharedItems count="3">
        <s v="VarImp"/>
        <s v="Interpretation"/>
        <s v="Predic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arrott" refreshedDate="45846.527621412039" createdVersion="8" refreshedVersion="8" minRefreshableVersion="3" recordCount="144" xr:uid="{11EA5942-80C2-472A-9A1E-C1ECB10A81EA}">
  <cacheSource type="worksheet">
    <worksheetSource ref="A1:F145" sheet="2 Class Aggregate Wavelengths"/>
  </cacheSource>
  <cacheFields count="6">
    <cacheField name="Method" numFmtId="0">
      <sharedItems/>
    </cacheField>
    <cacheField name="Run" numFmtId="0">
      <sharedItems/>
    </cacheField>
    <cacheField name="Tissue" numFmtId="0">
      <sharedItems count="2">
        <s v="Needles"/>
        <s v="Phloem"/>
      </sharedItems>
    </cacheField>
    <cacheField name="Class" numFmtId="0">
      <sharedItems containsSemiMixedTypes="0" containsString="0" containsNumber="1" containsInteger="1" minValue="2" maxValue="2" count="1">
        <n v="2"/>
      </sharedItems>
    </cacheField>
    <cacheField name="Wavelength" numFmtId="0">
      <sharedItems containsSemiMixedTypes="0" containsString="0" containsNumber="1" minValue="1409.5972489999999" maxValue="2456.1873209999999" count="70">
        <n v="2160.0001579999998"/>
        <n v="1511.1114219999999"/>
        <n v="2153.665849"/>
        <n v="2166.3718370000001"/>
        <n v="2400.0000570000002"/>
        <n v="1665.306413"/>
        <n v="2147.3685829999999"/>
        <n v="2034.3492309999999"/>
        <n v="2172.7812180000001"/>
        <n v="1661.538753"/>
        <n v="2392.1824710000001"/>
        <n v="1514.2271149999999"/>
        <n v="2028.729484"/>
        <n v="2324.0507240000002"/>
        <n v="2141.1080360000001"/>
        <n v="2407.8689060000002"/>
        <n v="1990.244117"/>
        <n v="1471.743802"/>
        <n v="2134.8838879999998"/>
        <n v="2128.6958209999998"/>
        <n v="2122.5435240000002"/>
        <n v="2116.4266859999998"/>
        <n v="2415.7895229999999"/>
        <n v="1420.5032200000001"/>
        <n v="2205.405546"/>
        <n v="1462.948523"/>
        <n v="1719.906604"/>
        <n v="2353.8462319999999"/>
        <n v="2361.4148660000001"/>
        <n v="1696.074188"/>
        <n v="2001.09013"/>
        <n v="1692.1661839999999"/>
        <n v="2369.03233"/>
        <n v="1468.800315"/>
        <n v="2346.3259600000001"/>
        <n v="2456.1873209999999"/>
        <n v="1533.194463"/>
        <n v="1669.091199"/>
        <n v="1495.7233269999999"/>
        <n v="2017.5826239999999"/>
        <n v="1800.000264"/>
        <n v="1912.500237"/>
        <n v="2295.0001040000002"/>
        <n v="2023.1406999999999"/>
        <n v="2384.415649"/>
        <n v="1428.794093"/>
        <n v="2431.7881219999999"/>
        <n v="1465.868579"/>
        <n v="2376.6990970000002"/>
        <n v="2423.7624219999998"/>
        <n v="1963.6365860000001"/>
        <n v="1409.5972489999999"/>
        <n v="1700.000284"/>
        <n v="2006.557587"/>
        <n v="1958.400224"/>
        <n v="1635.635039"/>
        <n v="1953.1917149999999"/>
        <n v="1632.0002959999999"/>
        <n v="1995.6523870000001"/>
        <n v="1412.308012"/>
        <n v="2179.2286370000002"/>
        <n v="2185.714434"/>
        <n v="2192.2389520000002"/>
        <n v="1822.3327650000001"/>
        <n v="1813.3335950000001"/>
        <n v="1642.9533140000001"/>
        <n v="1817.822042"/>
        <n v="1672.8932279999999"/>
        <n v="2448.0000340000001"/>
        <n v="1808.8672570000001"/>
      </sharedItems>
    </cacheField>
    <cacheField name="Column Number" numFmtId="0">
      <sharedItems containsSemiMixedTypes="0" containsString="0" containsNumber="1" containsInteger="1" minValue="15" maxValue="2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arrott" refreshedDate="45846.529292824074" createdVersion="8" refreshedVersion="8" minRefreshableVersion="3" recordCount="67" xr:uid="{5C015885-53EA-498B-95ED-D4812E21BD97}">
  <cacheSource type="worksheet">
    <worksheetSource ref="A1:F68" sheet="2 Class Phloem Aggregate"/>
  </cacheSource>
  <cacheFields count="6">
    <cacheField name="Method" numFmtId="0">
      <sharedItems/>
    </cacheField>
    <cacheField name="Run" numFmtId="0">
      <sharedItems/>
    </cacheField>
    <cacheField name="Tissue" numFmtId="0">
      <sharedItems/>
    </cacheField>
    <cacheField name="Class" numFmtId="0">
      <sharedItems containsSemiMixedTypes="0" containsString="0" containsNumber="1" containsInteger="1" minValue="2" maxValue="2"/>
    </cacheField>
    <cacheField name="Wavelength" numFmtId="0">
      <sharedItems containsSemiMixedTypes="0" containsString="0" containsNumber="1" minValue="1420.5032200000001" maxValue="2448.0000340000001" count="37">
        <n v="2134.8838879999998"/>
        <n v="2153.665849"/>
        <n v="2128.6958209999998"/>
        <n v="2141.1080360000001"/>
        <n v="2160.0001579999998"/>
        <n v="2147.3685829999999"/>
        <n v="2122.5435240000002"/>
        <n v="2166.3718370000001"/>
        <n v="2407.8689060000002"/>
        <n v="2116.4266859999998"/>
        <n v="2415.7895229999999"/>
        <n v="2400.0000570000002"/>
        <n v="1420.5032200000001"/>
        <n v="2205.405546"/>
        <n v="2028.729484"/>
        <n v="1462.948523"/>
        <n v="1719.906604"/>
        <n v="2172.7812180000001"/>
        <n v="2023.1406999999999"/>
        <n v="2384.415649"/>
        <n v="1428.794093"/>
        <n v="2431.7881219999999"/>
        <n v="1465.868579"/>
        <n v="2376.6990970000002"/>
        <n v="2423.7624219999998"/>
        <n v="2179.2286370000002"/>
        <n v="1661.538753"/>
        <n v="2185.714434"/>
        <n v="2192.2389520000002"/>
        <n v="1822.3327650000001"/>
        <n v="1813.3335950000001"/>
        <n v="1642.9533140000001"/>
        <n v="1817.822042"/>
        <n v="1665.306413"/>
        <n v="1672.8932279999999"/>
        <n v="2448.0000340000001"/>
        <n v="1808.8672570000001"/>
      </sharedItems>
    </cacheField>
    <cacheField name="Column Number" numFmtId="0">
      <sharedItems containsSemiMixedTypes="0" containsString="0" containsNumber="1" containsInteger="1" minValue="16" maxValue="2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N_0624R13C"/>
    <x v="0"/>
    <x v="0"/>
  </r>
  <r>
    <s v="N_0624R13C"/>
    <x v="1"/>
    <x v="1"/>
  </r>
  <r>
    <s v="N_0624R13C"/>
    <x v="2"/>
    <x v="2"/>
  </r>
  <r>
    <s v="N_0624R22C"/>
    <x v="3"/>
    <x v="3"/>
  </r>
  <r>
    <s v="N_0624R22C"/>
    <x v="4"/>
    <x v="4"/>
  </r>
  <r>
    <s v="N_0624R22C"/>
    <x v="5"/>
    <x v="5"/>
  </r>
  <r>
    <s v="N_0624R22C"/>
    <x v="6"/>
    <x v="6"/>
  </r>
  <r>
    <s v="N_0624R22C"/>
    <x v="7"/>
    <x v="7"/>
  </r>
  <r>
    <s v="N_0624R22C"/>
    <x v="8"/>
    <x v="8"/>
  </r>
  <r>
    <s v="N_0624R22C"/>
    <x v="9"/>
    <x v="9"/>
  </r>
  <r>
    <s v="P_0624R13C"/>
    <x v="10"/>
    <x v="10"/>
  </r>
  <r>
    <s v="P_0624R13C"/>
    <x v="11"/>
    <x v="11"/>
  </r>
  <r>
    <s v="P_0624R13C"/>
    <x v="12"/>
    <x v="12"/>
  </r>
  <r>
    <s v="P_0624R13C"/>
    <x v="13"/>
    <x v="13"/>
  </r>
  <r>
    <s v="P_0624R13C"/>
    <x v="14"/>
    <x v="14"/>
  </r>
  <r>
    <s v="P_0624R13C"/>
    <x v="15"/>
    <x v="15"/>
  </r>
  <r>
    <s v="P_0624R13C"/>
    <x v="16"/>
    <x v="16"/>
  </r>
  <r>
    <s v="P_0624R13C"/>
    <x v="17"/>
    <x v="17"/>
  </r>
  <r>
    <s v="P_0624R22C"/>
    <x v="10"/>
    <x v="10"/>
  </r>
  <r>
    <s v="P_0624R22C"/>
    <x v="18"/>
    <x v="18"/>
  </r>
  <r>
    <s v="P_0624R22C"/>
    <x v="11"/>
    <x v="11"/>
  </r>
  <r>
    <s v="P_0624R22C"/>
    <x v="3"/>
    <x v="3"/>
  </r>
  <r>
    <s v="P_0624R22C"/>
    <x v="16"/>
    <x v="16"/>
  </r>
  <r>
    <s v="P_0624R22C"/>
    <x v="5"/>
    <x v="5"/>
  </r>
  <r>
    <s v="P_0624R22C"/>
    <x v="19"/>
    <x v="19"/>
  </r>
  <r>
    <s v="P_0624R22C"/>
    <x v="20"/>
    <x v="20"/>
  </r>
  <r>
    <s v="N_0824R13C"/>
    <x v="15"/>
    <x v="15"/>
  </r>
  <r>
    <s v="N_0824R13C"/>
    <x v="21"/>
    <x v="21"/>
  </r>
  <r>
    <s v="N_0824R13C"/>
    <x v="14"/>
    <x v="14"/>
  </r>
  <r>
    <s v="N_0824R22C"/>
    <x v="21"/>
    <x v="21"/>
  </r>
  <r>
    <s v="N_0824R22C"/>
    <x v="15"/>
    <x v="15"/>
  </r>
  <r>
    <s v="N_0824R22C"/>
    <x v="22"/>
    <x v="22"/>
  </r>
  <r>
    <s v="N_0824R22C"/>
    <x v="23"/>
    <x v="23"/>
  </r>
  <r>
    <s v="P_0824R13C"/>
    <x v="24"/>
    <x v="24"/>
  </r>
  <r>
    <s v="P_0824R13C"/>
    <x v="25"/>
    <x v="25"/>
  </r>
  <r>
    <s v="P_0824R13C"/>
    <x v="26"/>
    <x v="26"/>
  </r>
  <r>
    <s v="P_0824R13C"/>
    <x v="27"/>
    <x v="27"/>
  </r>
  <r>
    <s v="P_0824R22C"/>
    <x v="24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N_0624R13C"/>
    <x v="0"/>
    <x v="0"/>
  </r>
  <r>
    <s v="N_0624R13C"/>
    <x v="1"/>
    <x v="1"/>
  </r>
  <r>
    <s v="N_0624R13C"/>
    <x v="2"/>
    <x v="2"/>
  </r>
  <r>
    <s v="N_0624R13C"/>
    <x v="3"/>
    <x v="3"/>
  </r>
  <r>
    <s v="N_0624R13C"/>
    <x v="4"/>
    <x v="4"/>
  </r>
  <r>
    <s v="N_0624R13C"/>
    <x v="5"/>
    <x v="5"/>
  </r>
  <r>
    <s v="N_0624R22C"/>
    <x v="6"/>
    <x v="6"/>
  </r>
  <r>
    <s v="N_0624R22C"/>
    <x v="7"/>
    <x v="7"/>
  </r>
  <r>
    <s v="N_0624R22C"/>
    <x v="8"/>
    <x v="8"/>
  </r>
  <r>
    <s v="N_0624R22C"/>
    <x v="9"/>
    <x v="9"/>
  </r>
  <r>
    <s v="N_0624R22C"/>
    <x v="10"/>
    <x v="10"/>
  </r>
  <r>
    <s v="N_0624R22C"/>
    <x v="11"/>
    <x v="11"/>
  </r>
  <r>
    <s v="N_0624R22C"/>
    <x v="12"/>
    <x v="12"/>
  </r>
  <r>
    <s v="N_0624R22C"/>
    <x v="13"/>
    <x v="13"/>
  </r>
  <r>
    <s v="N_0624R22C"/>
    <x v="14"/>
    <x v="14"/>
  </r>
  <r>
    <s v="N_0624R22C"/>
    <x v="15"/>
    <x v="15"/>
  </r>
  <r>
    <s v="N_0624R22C"/>
    <x v="16"/>
    <x v="16"/>
  </r>
  <r>
    <s v="N_0624R22C"/>
    <x v="17"/>
    <x v="17"/>
  </r>
  <r>
    <s v="N_0624R22C"/>
    <x v="18"/>
    <x v="18"/>
  </r>
  <r>
    <s v="N_0624R22C"/>
    <x v="19"/>
    <x v="19"/>
  </r>
  <r>
    <s v="N_0624R22C"/>
    <x v="20"/>
    <x v="20"/>
  </r>
  <r>
    <s v="N_0624R22C"/>
    <x v="21"/>
    <x v="21"/>
  </r>
  <r>
    <s v="N_0624R22C"/>
    <x v="22"/>
    <x v="22"/>
  </r>
  <r>
    <s v="N_0624R22C"/>
    <x v="23"/>
    <x v="23"/>
  </r>
  <r>
    <s v="P_0624R13C"/>
    <x v="24"/>
    <x v="24"/>
  </r>
  <r>
    <s v="P_0624R13C"/>
    <x v="25"/>
    <x v="25"/>
  </r>
  <r>
    <s v="P_0624R13C"/>
    <x v="20"/>
    <x v="20"/>
  </r>
  <r>
    <s v="P_0624R13C"/>
    <x v="26"/>
    <x v="26"/>
  </r>
  <r>
    <s v="P_0624R13C"/>
    <x v="27"/>
    <x v="27"/>
  </r>
  <r>
    <s v="P_0624R13C"/>
    <x v="16"/>
    <x v="16"/>
  </r>
  <r>
    <s v="P_0624R13C"/>
    <x v="8"/>
    <x v="8"/>
  </r>
  <r>
    <s v="P_0624R13C"/>
    <x v="12"/>
    <x v="12"/>
  </r>
  <r>
    <s v="P_0624R13C"/>
    <x v="28"/>
    <x v="28"/>
  </r>
  <r>
    <s v="P_0624R13C"/>
    <x v="13"/>
    <x v="13"/>
  </r>
  <r>
    <s v="P_0624R13C"/>
    <x v="6"/>
    <x v="6"/>
  </r>
  <r>
    <s v="P_0624R13C"/>
    <x v="29"/>
    <x v="29"/>
  </r>
  <r>
    <s v="P_0624R13C"/>
    <x v="30"/>
    <x v="30"/>
  </r>
  <r>
    <s v="P_0624R13C"/>
    <x v="18"/>
    <x v="18"/>
  </r>
  <r>
    <s v="P_0624R13C"/>
    <x v="31"/>
    <x v="31"/>
  </r>
  <r>
    <s v="P_0624R13C"/>
    <x v="32"/>
    <x v="32"/>
  </r>
  <r>
    <s v="P_0624R13C"/>
    <x v="10"/>
    <x v="10"/>
  </r>
  <r>
    <s v="P_0624R13C"/>
    <x v="9"/>
    <x v="9"/>
  </r>
  <r>
    <s v="P_0624R13C"/>
    <x v="33"/>
    <x v="33"/>
  </r>
  <r>
    <s v="P_0624R13C"/>
    <x v="34"/>
    <x v="34"/>
  </r>
  <r>
    <s v="P_0624R13C"/>
    <x v="35"/>
    <x v="35"/>
  </r>
  <r>
    <s v="P_0624R22C"/>
    <x v="24"/>
    <x v="24"/>
  </r>
  <r>
    <s v="P_0624R22C"/>
    <x v="8"/>
    <x v="8"/>
  </r>
  <r>
    <s v="P_0624R22C"/>
    <x v="25"/>
    <x v="25"/>
  </r>
  <r>
    <s v="P_0624R22C"/>
    <x v="20"/>
    <x v="20"/>
  </r>
  <r>
    <s v="P_0624R22C"/>
    <x v="6"/>
    <x v="6"/>
  </r>
  <r>
    <s v="P_0624R22C"/>
    <x v="12"/>
    <x v="12"/>
  </r>
  <r>
    <s v="P_0624R22C"/>
    <x v="27"/>
    <x v="27"/>
  </r>
  <r>
    <s v="P_0624R22C"/>
    <x v="9"/>
    <x v="9"/>
  </r>
  <r>
    <s v="P_0624R22C"/>
    <x v="21"/>
    <x v="21"/>
  </r>
  <r>
    <s v="P_0624R22C"/>
    <x v="32"/>
    <x v="32"/>
  </r>
  <r>
    <s v="P_0624R22C"/>
    <x v="36"/>
    <x v="36"/>
  </r>
  <r>
    <s v="P_0624R22C"/>
    <x v="10"/>
    <x v="10"/>
  </r>
  <r>
    <s v="P_0624R22C"/>
    <x v="37"/>
    <x v="37"/>
  </r>
  <r>
    <s v="P_0624R22C"/>
    <x v="38"/>
    <x v="38"/>
  </r>
  <r>
    <s v="P_0624R22C"/>
    <x v="18"/>
    <x v="18"/>
  </r>
  <r>
    <s v="P_0624R22C"/>
    <x v="39"/>
    <x v="39"/>
  </r>
  <r>
    <s v="P_0624R22C"/>
    <x v="40"/>
    <x v="40"/>
  </r>
  <r>
    <s v="N_0824R13C"/>
    <x v="31"/>
    <x v="31"/>
  </r>
  <r>
    <s v="N_0824R13C"/>
    <x v="0"/>
    <x v="0"/>
  </r>
  <r>
    <s v="N_0824R13C"/>
    <x v="29"/>
    <x v="29"/>
  </r>
  <r>
    <s v="N_0824R13C"/>
    <x v="28"/>
    <x v="28"/>
  </r>
  <r>
    <s v="N_0824R13C"/>
    <x v="41"/>
    <x v="41"/>
  </r>
  <r>
    <s v="N_0824R13C"/>
    <x v="42"/>
    <x v="42"/>
  </r>
  <r>
    <s v="N_0824R22C"/>
    <x v="0"/>
    <x v="0"/>
  </r>
  <r>
    <s v="N_0824R22C"/>
    <x v="31"/>
    <x v="31"/>
  </r>
  <r>
    <s v="N_0824R22C"/>
    <x v="43"/>
    <x v="43"/>
  </r>
  <r>
    <s v="N_0824R22C"/>
    <x v="44"/>
    <x v="44"/>
  </r>
  <r>
    <s v="N_0824R22C"/>
    <x v="45"/>
    <x v="45"/>
  </r>
  <r>
    <s v="N_0824R22C"/>
    <x v="29"/>
    <x v="29"/>
  </r>
  <r>
    <s v="N_0824R22C"/>
    <x v="46"/>
    <x v="46"/>
  </r>
  <r>
    <s v="N_0824R22C"/>
    <x v="47"/>
    <x v="47"/>
  </r>
  <r>
    <s v="P_0824R13C"/>
    <x v="14"/>
    <x v="14"/>
  </r>
  <r>
    <s v="P_0824R13C"/>
    <x v="6"/>
    <x v="6"/>
  </r>
  <r>
    <s v="P_0824R13C"/>
    <x v="9"/>
    <x v="9"/>
  </r>
  <r>
    <s v="P_0824R13C"/>
    <x v="48"/>
    <x v="48"/>
  </r>
  <r>
    <s v="P_0824R13C"/>
    <x v="12"/>
    <x v="12"/>
  </r>
  <r>
    <s v="P_0824R13C"/>
    <x v="8"/>
    <x v="8"/>
  </r>
  <r>
    <s v="P_0824R13C"/>
    <x v="20"/>
    <x v="20"/>
  </r>
  <r>
    <s v="P_0824R13C"/>
    <x v="24"/>
    <x v="24"/>
  </r>
  <r>
    <s v="P_0824R13C"/>
    <x v="3"/>
    <x v="3"/>
  </r>
  <r>
    <s v="P_0824R13C"/>
    <x v="49"/>
    <x v="49"/>
  </r>
  <r>
    <s v="P_0824R13C"/>
    <x v="25"/>
    <x v="25"/>
  </r>
  <r>
    <s v="P_0824R13C"/>
    <x v="15"/>
    <x v="15"/>
  </r>
  <r>
    <s v="P_0824R13C"/>
    <x v="50"/>
    <x v="50"/>
  </r>
  <r>
    <s v="P_0824R13C"/>
    <x v="51"/>
    <x v="51"/>
  </r>
  <r>
    <s v="P_0824R13C"/>
    <x v="52"/>
    <x v="52"/>
  </r>
  <r>
    <s v="P_0824R13C"/>
    <x v="53"/>
    <x v="53"/>
  </r>
  <r>
    <s v="P_0824R13C"/>
    <x v="54"/>
    <x v="54"/>
  </r>
  <r>
    <s v="P_0824R13C"/>
    <x v="55"/>
    <x v="55"/>
  </r>
  <r>
    <s v="P_0824R13C"/>
    <x v="56"/>
    <x v="56"/>
  </r>
  <r>
    <s v="P_0824R13C"/>
    <x v="27"/>
    <x v="27"/>
  </r>
  <r>
    <s v="P_0824R13C"/>
    <x v="57"/>
    <x v="57"/>
  </r>
  <r>
    <s v="P_0824R13C"/>
    <x v="58"/>
    <x v="58"/>
  </r>
  <r>
    <s v="P_0824R13C"/>
    <x v="59"/>
    <x v="59"/>
  </r>
  <r>
    <s v="P_0824R13C"/>
    <x v="60"/>
    <x v="60"/>
  </r>
  <r>
    <s v="P_0824R13C"/>
    <x v="61"/>
    <x v="61"/>
  </r>
  <r>
    <s v="P_0824R13C"/>
    <x v="11"/>
    <x v="11"/>
  </r>
  <r>
    <s v="P_0824R13C"/>
    <x v="62"/>
    <x v="62"/>
  </r>
  <r>
    <s v="P_0824R13C"/>
    <x v="63"/>
    <x v="63"/>
  </r>
  <r>
    <s v="P_0824R13C"/>
    <x v="64"/>
    <x v="64"/>
  </r>
  <r>
    <s v="P_0824R13C"/>
    <x v="65"/>
    <x v="65"/>
  </r>
  <r>
    <s v="P_0824R13C"/>
    <x v="66"/>
    <x v="66"/>
  </r>
  <r>
    <s v="P_0824R13C"/>
    <x v="67"/>
    <x v="67"/>
  </r>
  <r>
    <s v="P_0824R13C"/>
    <x v="68"/>
    <x v="68"/>
  </r>
  <r>
    <s v="P_0824R13C"/>
    <x v="33"/>
    <x v="33"/>
  </r>
  <r>
    <s v="P_0824R13C"/>
    <x v="69"/>
    <x v="69"/>
  </r>
  <r>
    <s v="P_0824R13C"/>
    <x v="70"/>
    <x v="70"/>
  </r>
  <r>
    <s v="P_0824R13C"/>
    <x v="71"/>
    <x v="71"/>
  </r>
  <r>
    <s v="P_0824R13C"/>
    <x v="72"/>
    <x v="72"/>
  </r>
  <r>
    <s v="P_0824R13C"/>
    <x v="73"/>
    <x v="73"/>
  </r>
  <r>
    <s v="P_0824R13C"/>
    <x v="74"/>
    <x v="74"/>
  </r>
  <r>
    <s v="P_0824R13C"/>
    <x v="75"/>
    <x v="75"/>
  </r>
  <r>
    <s v="P_0824R13C"/>
    <x v="76"/>
    <x v="76"/>
  </r>
  <r>
    <s v="P_0824R13C"/>
    <x v="77"/>
    <x v="77"/>
  </r>
  <r>
    <s v="P_0824R13C"/>
    <x v="78"/>
    <x v="78"/>
  </r>
  <r>
    <s v="P_0824R13C"/>
    <x v="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N_0624R13C"/>
    <x v="0"/>
    <n v="3"/>
    <x v="0"/>
    <n v="70.290000000000006"/>
    <n v="75.27"/>
    <n v="100"/>
  </r>
  <r>
    <s v="N_0624R13C"/>
    <x v="0"/>
    <n v="3"/>
    <x v="1"/>
    <n v="96.22"/>
    <n v="22.1"/>
    <n v="69.72"/>
  </r>
  <r>
    <s v="N_0624R13C"/>
    <x v="0"/>
    <n v="3"/>
    <x v="2"/>
    <n v="19.649999999999999"/>
    <n v="17.87"/>
    <n v="91.04"/>
  </r>
  <r>
    <s v="N_0624R13C"/>
    <x v="0"/>
    <n v="3"/>
    <x v="3"/>
    <n v="89.02"/>
    <n v="82.05"/>
    <n v="46.37"/>
  </r>
  <r>
    <s v="N_0624R13C"/>
    <x v="0"/>
    <n v="3"/>
    <x v="4"/>
    <n v="88.17"/>
    <n v="72.22"/>
    <n v="75.790000000000006"/>
  </r>
  <r>
    <s v="N_0624R13C"/>
    <x v="0"/>
    <n v="3"/>
    <x v="5"/>
    <n v="17.59"/>
    <n v="18"/>
    <n v="88.08"/>
  </r>
  <r>
    <s v="N_0624R13C"/>
    <x v="0"/>
    <n v="3"/>
    <x v="6"/>
    <n v="67.3"/>
    <n v="73.36"/>
    <n v="87.56"/>
  </r>
  <r>
    <s v="N_0624R13C"/>
    <x v="0"/>
    <n v="3"/>
    <x v="7"/>
    <n v="87.38"/>
    <n v="30.66"/>
    <n v="13.33"/>
  </r>
  <r>
    <s v="N_0624R13C"/>
    <x v="0"/>
    <n v="3"/>
    <x v="8"/>
    <n v="87.28"/>
    <n v="61.27"/>
    <n v="46.37"/>
  </r>
  <r>
    <s v="N_0624R13C"/>
    <x v="0"/>
    <n v="3"/>
    <x v="9"/>
    <n v="87.22"/>
    <n v="12"/>
    <n v="27.35"/>
  </r>
  <r>
    <s v="N_0624R13C"/>
    <x v="0"/>
    <n v="3"/>
    <x v="10"/>
    <n v="85.6"/>
    <n v="23.58"/>
    <n v="60.04"/>
  </r>
  <r>
    <s v="N_0624R13C"/>
    <x v="0"/>
    <n v="3"/>
    <x v="11"/>
    <n v="46.37"/>
    <n v="85.6"/>
    <n v="25.43"/>
  </r>
  <r>
    <s v="N_0624R13C"/>
    <x v="0"/>
    <n v="3"/>
    <x v="12"/>
    <n v="10.9"/>
    <n v="84.84"/>
    <n v="25.02"/>
  </r>
  <r>
    <s v="N_0624R13C"/>
    <x v="0"/>
    <n v="3"/>
    <x v="13"/>
    <n v="84.6"/>
    <n v="46.37"/>
    <n v="38.950000000000003"/>
  </r>
  <r>
    <s v="N_0624R13C"/>
    <x v="0"/>
    <n v="3"/>
    <x v="14"/>
    <n v="82.78"/>
    <n v="17.510000000000002"/>
    <n v="16.73"/>
  </r>
  <r>
    <s v="N_0624R13C"/>
    <x v="0"/>
    <n v="3"/>
    <x v="15"/>
    <n v="81.22"/>
    <n v="48.66"/>
    <n v="82.63"/>
  </r>
  <r>
    <s v="N_0624R13C"/>
    <x v="0"/>
    <n v="3"/>
    <x v="16"/>
    <n v="30.55"/>
    <n v="41.48"/>
    <n v="82.6"/>
  </r>
  <r>
    <s v="N_0624R13C"/>
    <x v="0"/>
    <n v="3"/>
    <x v="17"/>
    <n v="82.44"/>
    <n v="25.43"/>
    <n v="49.89"/>
  </r>
  <r>
    <s v="N_0624R13C"/>
    <x v="0"/>
    <n v="3"/>
    <x v="18"/>
    <n v="82.44"/>
    <n v="46.37"/>
    <n v="11"/>
  </r>
  <r>
    <s v="N_0624R13C"/>
    <x v="0"/>
    <n v="3"/>
    <x v="19"/>
    <n v="82.41"/>
    <n v="51.78"/>
    <n v="69.790000000000006"/>
  </r>
  <r>
    <s v="N_0624R22C"/>
    <x v="0"/>
    <n v="2"/>
    <x v="20"/>
    <m/>
    <m/>
    <n v="100"/>
  </r>
  <r>
    <s v="N_0624R22C"/>
    <x v="0"/>
    <n v="2"/>
    <x v="21"/>
    <m/>
    <m/>
    <n v="91.7"/>
  </r>
  <r>
    <s v="N_0624R22C"/>
    <x v="0"/>
    <n v="2"/>
    <x v="17"/>
    <m/>
    <m/>
    <n v="84.95"/>
  </r>
  <r>
    <s v="N_0624R22C"/>
    <x v="0"/>
    <n v="2"/>
    <x v="22"/>
    <m/>
    <m/>
    <n v="80.34"/>
  </r>
  <r>
    <s v="N_0624R22C"/>
    <x v="0"/>
    <n v="2"/>
    <x v="23"/>
    <m/>
    <m/>
    <n v="76.87"/>
  </r>
  <r>
    <s v="N_0624R22C"/>
    <x v="0"/>
    <n v="2"/>
    <x v="24"/>
    <m/>
    <m/>
    <n v="76.61"/>
  </r>
  <r>
    <s v="N_0624R22C"/>
    <x v="0"/>
    <n v="2"/>
    <x v="8"/>
    <m/>
    <m/>
    <n v="72.16"/>
  </r>
  <r>
    <s v="N_0624R22C"/>
    <x v="0"/>
    <n v="2"/>
    <x v="25"/>
    <m/>
    <m/>
    <n v="72.08"/>
  </r>
  <r>
    <s v="N_0624R22C"/>
    <x v="0"/>
    <n v="2"/>
    <x v="26"/>
    <m/>
    <m/>
    <n v="70.180000000000007"/>
  </r>
  <r>
    <s v="N_0624R22C"/>
    <x v="0"/>
    <n v="2"/>
    <x v="27"/>
    <m/>
    <m/>
    <n v="69.739999999999995"/>
  </r>
  <r>
    <s v="N_0624R22C"/>
    <x v="0"/>
    <n v="2"/>
    <x v="28"/>
    <m/>
    <m/>
    <n v="69.569999999999993"/>
  </r>
  <r>
    <s v="N_0624R22C"/>
    <x v="0"/>
    <n v="2"/>
    <x v="29"/>
    <m/>
    <m/>
    <n v="69.400000000000006"/>
  </r>
  <r>
    <s v="N_0624R22C"/>
    <x v="0"/>
    <n v="2"/>
    <x v="4"/>
    <m/>
    <m/>
    <n v="68.39"/>
  </r>
  <r>
    <s v="N_0624R22C"/>
    <x v="0"/>
    <n v="2"/>
    <x v="30"/>
    <m/>
    <m/>
    <n v="67.989999999999995"/>
  </r>
  <r>
    <s v="N_0624R22C"/>
    <x v="0"/>
    <n v="2"/>
    <x v="31"/>
    <m/>
    <m/>
    <n v="67.86"/>
  </r>
  <r>
    <s v="N_0624R22C"/>
    <x v="0"/>
    <n v="2"/>
    <x v="32"/>
    <m/>
    <m/>
    <n v="67.17"/>
  </r>
  <r>
    <s v="N_0624R22C"/>
    <x v="0"/>
    <n v="2"/>
    <x v="33"/>
    <m/>
    <m/>
    <n v="65.75"/>
  </r>
  <r>
    <s v="N_0624R22C"/>
    <x v="0"/>
    <n v="2"/>
    <x v="34"/>
    <m/>
    <m/>
    <n v="63.45"/>
  </r>
  <r>
    <s v="N_0624R22C"/>
    <x v="0"/>
    <n v="2"/>
    <x v="35"/>
    <m/>
    <m/>
    <n v="63.34"/>
  </r>
  <r>
    <s v="N_0624R22C"/>
    <x v="0"/>
    <n v="2"/>
    <x v="15"/>
    <m/>
    <m/>
    <n v="63.18"/>
  </r>
  <r>
    <s v="P_0624R13C"/>
    <x v="0"/>
    <n v="3"/>
    <x v="36"/>
    <n v="100"/>
    <n v="78.698999999999998"/>
    <n v="84.97"/>
  </r>
  <r>
    <s v="P_0624R13C"/>
    <x v="0"/>
    <n v="3"/>
    <x v="37"/>
    <n v="88.58"/>
    <n v="57.499000000000002"/>
    <n v="56.58"/>
  </r>
  <r>
    <s v="P_0624R13C"/>
    <x v="0"/>
    <n v="3"/>
    <x v="20"/>
    <n v="88.57"/>
    <n v="33.494999999999997"/>
    <n v="65.209999999999994"/>
  </r>
  <r>
    <s v="P_0624R13C"/>
    <x v="0"/>
    <n v="3"/>
    <x v="22"/>
    <n v="87.76"/>
    <n v="34.841999999999999"/>
    <n v="67.84"/>
  </r>
  <r>
    <s v="P_0624R13C"/>
    <x v="0"/>
    <n v="3"/>
    <x v="38"/>
    <n v="64.599999999999994"/>
    <n v="63.725000000000001"/>
    <n v="83.85"/>
  </r>
  <r>
    <s v="P_0624R13C"/>
    <x v="0"/>
    <n v="3"/>
    <x v="26"/>
    <n v="83.23"/>
    <n v="54.598999999999997"/>
    <n v="69.36"/>
  </r>
  <r>
    <s v="P_0624R13C"/>
    <x v="0"/>
    <n v="3"/>
    <x v="39"/>
    <n v="39.85"/>
    <n v="77.277000000000001"/>
    <n v="80.78"/>
  </r>
  <r>
    <s v="P_0624R13C"/>
    <x v="0"/>
    <n v="3"/>
    <x v="40"/>
    <n v="75.760000000000005"/>
    <n v="56.61"/>
    <n v="40.700000000000003"/>
  </r>
  <r>
    <s v="P_0624R13C"/>
    <x v="0"/>
    <n v="3"/>
    <x v="41"/>
    <n v="48.2"/>
    <n v="62.17"/>
    <n v="75.739999999999995"/>
  </r>
  <r>
    <s v="P_0624R13C"/>
    <x v="0"/>
    <n v="3"/>
    <x v="42"/>
    <n v="74.430000000000007"/>
    <n v="37.432000000000002"/>
    <n v="51.29"/>
  </r>
  <r>
    <s v="P_0624R13C"/>
    <x v="0"/>
    <n v="3"/>
    <x v="43"/>
    <n v="58.34"/>
    <n v="54.597000000000001"/>
    <n v="74.209999999999994"/>
  </r>
  <r>
    <s v="P_0624R13C"/>
    <x v="0"/>
    <n v="3"/>
    <x v="44"/>
    <n v="35.75"/>
    <n v="49.31"/>
    <n v="74.150000000000006"/>
  </r>
  <r>
    <s v="P_0624R13C"/>
    <x v="0"/>
    <n v="3"/>
    <x v="45"/>
    <n v="32.08"/>
    <n v="65.906999999999996"/>
    <n v="72.209999999999994"/>
  </r>
  <r>
    <s v="P_0624R13C"/>
    <x v="0"/>
    <n v="3"/>
    <x v="35"/>
    <n v="71.7"/>
    <n v="12.451000000000001"/>
    <n v="57.73"/>
  </r>
  <r>
    <s v="P_0624R13C"/>
    <x v="0"/>
    <n v="3"/>
    <x v="46"/>
    <n v="69.41"/>
    <n v="69.001000000000005"/>
    <n v="63.4"/>
  </r>
  <r>
    <s v="P_0624R13C"/>
    <x v="0"/>
    <n v="3"/>
    <x v="47"/>
    <n v="67.099999999999994"/>
    <n v="28.706"/>
    <n v="39.96"/>
  </r>
  <r>
    <s v="P_0624R13C"/>
    <x v="0"/>
    <n v="3"/>
    <x v="48"/>
    <n v="62.08"/>
    <n v="9.1620000000000008"/>
    <n v="66.959999999999994"/>
  </r>
  <r>
    <s v="P_0624R13C"/>
    <x v="0"/>
    <n v="3"/>
    <x v="49"/>
    <n v="55.82"/>
    <n v="25.757000000000001"/>
    <n v="66.599999999999994"/>
  </r>
  <r>
    <s v="P_0624R13C"/>
    <x v="0"/>
    <n v="3"/>
    <x v="50"/>
    <n v="38.97"/>
    <n v="66.337000000000003"/>
    <n v="41.46"/>
  </r>
  <r>
    <s v="P_0624R13C"/>
    <x v="0"/>
    <n v="3"/>
    <x v="51"/>
    <n v="65.41"/>
    <n v="52.387999999999998"/>
    <n v="65.84"/>
  </r>
  <r>
    <s v="P_0624R22C"/>
    <x v="0"/>
    <n v="2"/>
    <x v="22"/>
    <m/>
    <m/>
    <n v="100"/>
  </r>
  <r>
    <s v="P_0624R22C"/>
    <x v="0"/>
    <n v="2"/>
    <x v="42"/>
    <m/>
    <m/>
    <n v="96.51"/>
  </r>
  <r>
    <s v="P_0624R22C"/>
    <x v="0"/>
    <n v="2"/>
    <x v="20"/>
    <m/>
    <m/>
    <n v="90.85"/>
  </r>
  <r>
    <s v="P_0624R22C"/>
    <x v="0"/>
    <n v="2"/>
    <x v="26"/>
    <m/>
    <m/>
    <n v="89.63"/>
  </r>
  <r>
    <s v="P_0624R22C"/>
    <x v="0"/>
    <n v="2"/>
    <x v="37"/>
    <m/>
    <m/>
    <n v="84.83"/>
  </r>
  <r>
    <s v="P_0624R22C"/>
    <x v="0"/>
    <n v="2"/>
    <x v="51"/>
    <m/>
    <m/>
    <n v="83.6"/>
  </r>
  <r>
    <s v="P_0624R22C"/>
    <x v="0"/>
    <n v="2"/>
    <x v="36"/>
    <m/>
    <m/>
    <n v="80.900000000000006"/>
  </r>
  <r>
    <s v="P_0624R22C"/>
    <x v="0"/>
    <n v="2"/>
    <x v="52"/>
    <m/>
    <m/>
    <n v="77.709999999999994"/>
  </r>
  <r>
    <s v="P_0624R22C"/>
    <x v="0"/>
    <n v="2"/>
    <x v="53"/>
    <m/>
    <m/>
    <n v="77.58"/>
  </r>
  <r>
    <s v="P_0624R22C"/>
    <x v="0"/>
    <n v="2"/>
    <x v="38"/>
    <m/>
    <m/>
    <n v="73.36"/>
  </r>
  <r>
    <s v="P_0624R22C"/>
    <x v="0"/>
    <n v="2"/>
    <x v="49"/>
    <m/>
    <m/>
    <n v="72.010000000000005"/>
  </r>
  <r>
    <s v="P_0624R22C"/>
    <x v="0"/>
    <n v="2"/>
    <x v="54"/>
    <m/>
    <m/>
    <n v="71.72"/>
  </r>
  <r>
    <s v="P_0624R22C"/>
    <x v="0"/>
    <n v="2"/>
    <x v="17"/>
    <m/>
    <m/>
    <n v="69.16"/>
  </r>
  <r>
    <s v="P_0624R22C"/>
    <x v="0"/>
    <n v="2"/>
    <x v="23"/>
    <m/>
    <m/>
    <n v="98.98"/>
  </r>
  <r>
    <s v="P_0624R22C"/>
    <x v="0"/>
    <n v="2"/>
    <x v="55"/>
    <m/>
    <m/>
    <n v="68.14"/>
  </r>
  <r>
    <s v="P_0624R22C"/>
    <x v="0"/>
    <n v="2"/>
    <x v="56"/>
    <m/>
    <m/>
    <n v="68.11"/>
  </r>
  <r>
    <s v="P_0624R22C"/>
    <x v="0"/>
    <n v="2"/>
    <x v="57"/>
    <m/>
    <m/>
    <n v="67.02"/>
  </r>
  <r>
    <s v="P_0624R22C"/>
    <x v="0"/>
    <n v="2"/>
    <x v="58"/>
    <m/>
    <m/>
    <n v="66.83"/>
  </r>
  <r>
    <s v="P_0624R22C"/>
    <x v="0"/>
    <n v="2"/>
    <x v="41"/>
    <m/>
    <m/>
    <n v="66.2"/>
  </r>
  <r>
    <s v="P_0624R22C"/>
    <x v="0"/>
    <n v="2"/>
    <x v="47"/>
    <m/>
    <m/>
    <n v="63.67"/>
  </r>
  <r>
    <s v="N_0824R13C"/>
    <x v="1"/>
    <n v="3"/>
    <x v="45"/>
    <n v="19.403400000000001"/>
    <n v="100"/>
    <n v="94.64"/>
  </r>
  <r>
    <s v="N_0824R13C"/>
    <x v="1"/>
    <n v="3"/>
    <x v="39"/>
    <n v="27.109400000000001"/>
    <n v="90.78"/>
    <n v="68.86"/>
  </r>
  <r>
    <s v="N_0824R13C"/>
    <x v="1"/>
    <n v="3"/>
    <x v="59"/>
    <n v="0.81710000000000005"/>
    <n v="88.18"/>
    <n v="90.65"/>
  </r>
  <r>
    <s v="N_0824R13C"/>
    <x v="1"/>
    <n v="3"/>
    <x v="41"/>
    <n v="13.454800000000001"/>
    <n v="85.87"/>
    <n v="65.27"/>
  </r>
  <r>
    <s v="N_0824R13C"/>
    <x v="1"/>
    <n v="3"/>
    <x v="60"/>
    <n v="36.523400000000002"/>
    <n v="39.64"/>
    <n v="76.819999999999993"/>
  </r>
  <r>
    <s v="N_0824R13C"/>
    <x v="1"/>
    <n v="3"/>
    <x v="38"/>
    <n v="17.911999999999999"/>
    <n v="76.62"/>
    <n v="57.03"/>
  </r>
  <r>
    <s v="N_0824R13C"/>
    <x v="1"/>
    <n v="3"/>
    <x v="10"/>
    <n v="60.608899999999998"/>
    <n v="70.77"/>
    <n v="16.28"/>
  </r>
  <r>
    <s v="N_0824R13C"/>
    <x v="1"/>
    <n v="3"/>
    <x v="61"/>
    <n v="27.1738"/>
    <n v="54.42"/>
    <n v="69.56"/>
  </r>
  <r>
    <s v="N_0824R13C"/>
    <x v="1"/>
    <n v="3"/>
    <x v="62"/>
    <n v="19.8324"/>
    <n v="41.23"/>
    <n v="69.540000000000006"/>
  </r>
  <r>
    <s v="N_0824R13C"/>
    <x v="1"/>
    <n v="3"/>
    <x v="15"/>
    <n v="40.452399999999997"/>
    <n v="69.459999999999994"/>
    <n v="26"/>
  </r>
  <r>
    <s v="N_0824R13C"/>
    <x v="1"/>
    <n v="3"/>
    <x v="63"/>
    <n v="20.065300000000001"/>
    <n v="52.81"/>
    <n v="68.569999999999993"/>
  </r>
  <r>
    <s v="N_0824R13C"/>
    <x v="1"/>
    <n v="3"/>
    <x v="64"/>
    <n v="35.540399999999998"/>
    <n v="67.09"/>
    <n v="12.47"/>
  </r>
  <r>
    <s v="N_0824R13C"/>
    <x v="1"/>
    <n v="3"/>
    <x v="7"/>
    <n v="43.359900000000003"/>
    <n v="66.959999999999994"/>
    <n v="29.82"/>
  </r>
  <r>
    <s v="N_0824R13C"/>
    <x v="1"/>
    <n v="3"/>
    <x v="65"/>
    <n v="56.410200000000003"/>
    <n v="66.42"/>
    <n v="24.67"/>
  </r>
  <r>
    <s v="N_0824R13C"/>
    <x v="1"/>
    <n v="3"/>
    <x v="66"/>
    <n v="65.8078"/>
    <n v="34.26"/>
    <n v="55.07"/>
  </r>
  <r>
    <s v="N_0824R13C"/>
    <x v="1"/>
    <n v="3"/>
    <x v="67"/>
    <n v="29.041399999999999"/>
    <n v="65.75"/>
    <n v="37.369999999999997"/>
  </r>
  <r>
    <s v="N_0824R13C"/>
    <x v="1"/>
    <n v="3"/>
    <x v="68"/>
    <n v="24.7803"/>
    <n v="65.709999999999994"/>
    <n v="25.3"/>
  </r>
  <r>
    <s v="N_0824R13C"/>
    <x v="1"/>
    <n v="3"/>
    <x v="69"/>
    <n v="57.619599999999998"/>
    <n v="63.67"/>
    <n v="15.98"/>
  </r>
  <r>
    <s v="N_0824R13C"/>
    <x v="1"/>
    <n v="3"/>
    <x v="70"/>
    <n v="48.9116"/>
    <n v="63.44"/>
    <n v="17.93"/>
  </r>
  <r>
    <s v="N_0824R13C"/>
    <x v="1"/>
    <n v="3"/>
    <x v="71"/>
    <n v="15.851900000000001"/>
    <n v="47.29"/>
    <n v="63.06"/>
  </r>
  <r>
    <s v="N_0824R22C"/>
    <x v="1"/>
    <n v="2"/>
    <x v="60"/>
    <m/>
    <m/>
    <n v="100"/>
  </r>
  <r>
    <s v="N_0824R22C"/>
    <x v="1"/>
    <n v="2"/>
    <x v="45"/>
    <m/>
    <m/>
    <n v="97.8"/>
  </r>
  <r>
    <s v="N_0824R22C"/>
    <x v="1"/>
    <n v="2"/>
    <x v="31"/>
    <m/>
    <m/>
    <n v="92.57"/>
  </r>
  <r>
    <s v="N_0824R22C"/>
    <x v="1"/>
    <n v="2"/>
    <x v="72"/>
    <m/>
    <m/>
    <n v="92.07"/>
  </r>
  <r>
    <s v="N_0824R22C"/>
    <x v="1"/>
    <n v="2"/>
    <x v="59"/>
    <m/>
    <m/>
    <n v="89.68"/>
  </r>
  <r>
    <s v="N_0824R22C"/>
    <x v="1"/>
    <n v="2"/>
    <x v="73"/>
    <m/>
    <m/>
    <n v="83.6"/>
  </r>
  <r>
    <s v="N_0824R22C"/>
    <x v="1"/>
    <n v="2"/>
    <x v="39"/>
    <m/>
    <m/>
    <n v="80.97"/>
  </r>
  <r>
    <s v="N_0824R22C"/>
    <x v="1"/>
    <n v="2"/>
    <x v="74"/>
    <m/>
    <m/>
    <n v="79.739999999999995"/>
  </r>
  <r>
    <s v="N_0824R22C"/>
    <x v="1"/>
    <n v="2"/>
    <x v="63"/>
    <m/>
    <m/>
    <n v="79.489999999999995"/>
  </r>
  <r>
    <s v="N_0824R22C"/>
    <x v="1"/>
    <n v="2"/>
    <x v="48"/>
    <m/>
    <m/>
    <n v="77.930000000000007"/>
  </r>
  <r>
    <s v="N_0824R22C"/>
    <x v="1"/>
    <n v="2"/>
    <x v="75"/>
    <m/>
    <m/>
    <n v="77.47"/>
  </r>
  <r>
    <s v="N_0824R22C"/>
    <x v="1"/>
    <n v="2"/>
    <x v="62"/>
    <m/>
    <m/>
    <n v="76.27"/>
  </r>
  <r>
    <s v="N_0824R22C"/>
    <x v="1"/>
    <n v="2"/>
    <x v="27"/>
    <m/>
    <m/>
    <n v="72.88"/>
  </r>
  <r>
    <s v="N_0824R22C"/>
    <x v="1"/>
    <n v="2"/>
    <x v="76"/>
    <m/>
    <m/>
    <n v="70.41"/>
  </r>
  <r>
    <s v="N_0824R22C"/>
    <x v="1"/>
    <n v="2"/>
    <x v="77"/>
    <m/>
    <m/>
    <n v="69.489999999999995"/>
  </r>
  <r>
    <s v="N_0824R22C"/>
    <x v="1"/>
    <n v="2"/>
    <x v="78"/>
    <m/>
    <m/>
    <n v="67.31"/>
  </r>
  <r>
    <s v="N_0824R22C"/>
    <x v="1"/>
    <n v="2"/>
    <x v="34"/>
    <m/>
    <m/>
    <n v="66.83"/>
  </r>
  <r>
    <s v="N_0824R22C"/>
    <x v="1"/>
    <n v="2"/>
    <x v="79"/>
    <m/>
    <m/>
    <n v="65.12"/>
  </r>
  <r>
    <s v="N_0824R22C"/>
    <x v="1"/>
    <n v="2"/>
    <x v="24"/>
    <m/>
    <m/>
    <n v="64.290000000000006"/>
  </r>
  <r>
    <s v="N_0824R22C"/>
    <x v="1"/>
    <n v="2"/>
    <x v="80"/>
    <m/>
    <m/>
    <n v="64.11"/>
  </r>
  <r>
    <s v="P_0824R13C"/>
    <x v="1"/>
    <n v="3"/>
    <x v="29"/>
    <n v="100"/>
    <n v="72.58"/>
    <n v="84.67"/>
  </r>
  <r>
    <s v="P_0824R13C"/>
    <x v="1"/>
    <n v="3"/>
    <x v="22"/>
    <n v="90.88"/>
    <n v="57.15"/>
    <n v="86.77"/>
  </r>
  <r>
    <s v="P_0824R13C"/>
    <x v="1"/>
    <n v="3"/>
    <x v="81"/>
    <n v="37.46"/>
    <n v="90.56"/>
    <n v="58.23"/>
  </r>
  <r>
    <s v="P_0824R13C"/>
    <x v="1"/>
    <n v="3"/>
    <x v="35"/>
    <n v="90.04"/>
    <n v="52.41"/>
    <n v="67.75"/>
  </r>
  <r>
    <s v="P_0824R13C"/>
    <x v="1"/>
    <n v="3"/>
    <x v="26"/>
    <n v="70.650000000000006"/>
    <n v="25.09"/>
    <n v="86.8"/>
  </r>
  <r>
    <s v="P_0824R13C"/>
    <x v="1"/>
    <n v="3"/>
    <x v="20"/>
    <n v="85.05"/>
    <n v="29.24"/>
    <n v="80.319999999999993"/>
  </r>
  <r>
    <s v="P_0824R13C"/>
    <x v="1"/>
    <n v="3"/>
    <x v="42"/>
    <n v="76.17"/>
    <n v="35.049999999999997"/>
    <n v="84.49"/>
  </r>
  <r>
    <s v="P_0824R13C"/>
    <x v="1"/>
    <n v="3"/>
    <x v="82"/>
    <n v="82.61"/>
    <n v="69.34"/>
    <n v="75.09"/>
  </r>
  <r>
    <s v="P_0824R13C"/>
    <x v="1"/>
    <n v="3"/>
    <x v="43"/>
    <n v="31.4"/>
    <n v="41.06"/>
    <n v="82.53"/>
  </r>
  <r>
    <s v="P_0824R13C"/>
    <x v="1"/>
    <n v="3"/>
    <x v="4"/>
    <n v="82.04"/>
    <n v="59.95"/>
    <n v="59.21"/>
  </r>
  <r>
    <s v="P_0824R13C"/>
    <x v="1"/>
    <n v="3"/>
    <x v="27"/>
    <n v="81.03"/>
    <n v="36.229999999999997"/>
    <n v="76.790000000000006"/>
  </r>
  <r>
    <s v="P_0824R13C"/>
    <x v="1"/>
    <n v="3"/>
    <x v="36"/>
    <n v="50.39"/>
    <n v="49.25"/>
    <n v="80.8"/>
  </r>
  <r>
    <s v="P_0824R13C"/>
    <x v="1"/>
    <n v="3"/>
    <x v="83"/>
    <n v="79.819999999999993"/>
    <n v="41.35"/>
    <n v="24.23"/>
  </r>
  <r>
    <s v="P_0824R13C"/>
    <x v="1"/>
    <n v="3"/>
    <x v="78"/>
    <n v="78.95"/>
    <n v="25.98"/>
    <n v="55.88"/>
  </r>
  <r>
    <s v="P_0824R13C"/>
    <x v="1"/>
    <n v="3"/>
    <x v="84"/>
    <n v="78.489999999999995"/>
    <n v="62.19"/>
    <n v="33.78"/>
  </r>
  <r>
    <s v="P_0824R13C"/>
    <x v="1"/>
    <n v="3"/>
    <x v="85"/>
    <n v="74.31"/>
    <n v="72.36"/>
    <n v="34.5"/>
  </r>
  <r>
    <s v="P_0824R13C"/>
    <x v="1"/>
    <n v="3"/>
    <x v="86"/>
    <n v="61.62"/>
    <n v="36.97"/>
    <n v="74.099999999999994"/>
  </r>
  <r>
    <s v="P_0824R13C"/>
    <x v="1"/>
    <n v="3"/>
    <x v="87"/>
    <n v="52.38"/>
    <n v="33.9"/>
    <n v="74.010000000000005"/>
  </r>
  <r>
    <s v="P_0824R13C"/>
    <x v="1"/>
    <n v="3"/>
    <x v="18"/>
    <n v="63.84"/>
    <n v="28.38"/>
    <n v="73.75"/>
  </r>
  <r>
    <s v="P_0824R13C"/>
    <x v="1"/>
    <n v="3"/>
    <x v="88"/>
    <n v="73.650000000000006"/>
    <n v="50.89"/>
    <n v="53.53"/>
  </r>
  <r>
    <s v="P_0824R22C"/>
    <x v="1"/>
    <n v="2"/>
    <x v="35"/>
    <m/>
    <m/>
    <n v="100"/>
  </r>
  <r>
    <s v="P_0824R22C"/>
    <x v="1"/>
    <n v="2"/>
    <x v="29"/>
    <m/>
    <m/>
    <n v="92.59"/>
  </r>
  <r>
    <s v="P_0824R22C"/>
    <x v="1"/>
    <n v="2"/>
    <x v="22"/>
    <m/>
    <m/>
    <n v="81.77"/>
  </r>
  <r>
    <s v="P_0824R22C"/>
    <x v="1"/>
    <n v="2"/>
    <x v="82"/>
    <m/>
    <m/>
    <n v="77.77"/>
  </r>
  <r>
    <s v="P_0824R22C"/>
    <x v="1"/>
    <n v="2"/>
    <x v="4"/>
    <m/>
    <m/>
    <n v="71.23"/>
  </r>
  <r>
    <s v="P_0824R22C"/>
    <x v="1"/>
    <n v="2"/>
    <x v="20"/>
    <m/>
    <m/>
    <n v="66.55"/>
  </r>
  <r>
    <s v="P_0824R22C"/>
    <x v="1"/>
    <n v="2"/>
    <x v="89"/>
    <m/>
    <m/>
    <n v="65"/>
  </r>
  <r>
    <s v="P_0824R22C"/>
    <x v="1"/>
    <n v="2"/>
    <x v="51"/>
    <m/>
    <m/>
    <n v="57.83"/>
  </r>
  <r>
    <s v="P_0824R22C"/>
    <x v="1"/>
    <n v="2"/>
    <x v="90"/>
    <m/>
    <m/>
    <n v="54.01"/>
  </r>
  <r>
    <s v="P_0824R22C"/>
    <x v="1"/>
    <n v="2"/>
    <x v="18"/>
    <m/>
    <m/>
    <n v="53.14"/>
  </r>
  <r>
    <s v="P_0824R22C"/>
    <x v="1"/>
    <n v="2"/>
    <x v="36"/>
    <m/>
    <m/>
    <n v="51.96"/>
  </r>
  <r>
    <s v="P_0824R22C"/>
    <x v="1"/>
    <n v="2"/>
    <x v="42"/>
    <m/>
    <m/>
    <n v="51.58"/>
  </r>
  <r>
    <s v="P_0824R22C"/>
    <x v="1"/>
    <n v="2"/>
    <x v="91"/>
    <m/>
    <m/>
    <n v="51.39"/>
  </r>
  <r>
    <s v="P_0824R22C"/>
    <x v="1"/>
    <n v="2"/>
    <x v="92"/>
    <m/>
    <m/>
    <n v="51.3"/>
  </r>
  <r>
    <s v="P_0824R22C"/>
    <x v="1"/>
    <n v="2"/>
    <x v="93"/>
    <m/>
    <m/>
    <n v="50.88"/>
  </r>
  <r>
    <s v="P_0824R22C"/>
    <x v="1"/>
    <n v="2"/>
    <x v="1"/>
    <m/>
    <m/>
    <n v="50.85"/>
  </r>
  <r>
    <s v="P_0824R22C"/>
    <x v="1"/>
    <n v="2"/>
    <x v="94"/>
    <m/>
    <m/>
    <n v="49.62"/>
  </r>
  <r>
    <s v="P_0824R22C"/>
    <x v="1"/>
    <n v="2"/>
    <x v="95"/>
    <m/>
    <m/>
    <n v="49.58"/>
  </r>
  <r>
    <s v="P_0824R22C"/>
    <x v="1"/>
    <n v="2"/>
    <x v="96"/>
    <m/>
    <m/>
    <n v="48.84"/>
  </r>
  <r>
    <s v="P_0824R22C"/>
    <x v="1"/>
    <n v="2"/>
    <x v="26"/>
    <m/>
    <m/>
    <n v="48.4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N_0624R13C"/>
    <s v="June"/>
    <n v="3"/>
    <x v="0"/>
    <n v="70.290000000000006"/>
    <n v="75.27"/>
    <n v="100"/>
  </r>
  <r>
    <s v="N_0624R13C"/>
    <s v="June"/>
    <n v="3"/>
    <x v="1"/>
    <n v="96.22"/>
    <n v="22.1"/>
    <n v="69.72"/>
  </r>
  <r>
    <s v="N_0624R13C"/>
    <s v="June"/>
    <n v="3"/>
    <x v="2"/>
    <n v="19.649999999999999"/>
    <n v="17.87"/>
    <n v="91.04"/>
  </r>
  <r>
    <s v="N_0624R13C"/>
    <s v="June"/>
    <n v="3"/>
    <x v="3"/>
    <n v="89.02"/>
    <n v="82.05"/>
    <n v="46.37"/>
  </r>
  <r>
    <s v="N_0624R13C"/>
    <s v="June"/>
    <n v="3"/>
    <x v="4"/>
    <n v="88.17"/>
    <n v="72.22"/>
    <n v="75.790000000000006"/>
  </r>
  <r>
    <s v="N_0624R13C"/>
    <s v="June"/>
    <n v="3"/>
    <x v="5"/>
    <n v="17.59"/>
    <n v="18"/>
    <n v="88.08"/>
  </r>
  <r>
    <s v="N_0624R13C"/>
    <s v="June"/>
    <n v="3"/>
    <x v="6"/>
    <n v="67.3"/>
    <n v="73.36"/>
    <n v="87.56"/>
  </r>
  <r>
    <s v="N_0624R13C"/>
    <s v="June"/>
    <n v="3"/>
    <x v="7"/>
    <n v="87.38"/>
    <n v="30.66"/>
    <n v="13.33"/>
  </r>
  <r>
    <s v="N_0624R13C"/>
    <s v="June"/>
    <n v="3"/>
    <x v="8"/>
    <n v="87.28"/>
    <n v="61.27"/>
    <n v="46.37"/>
  </r>
  <r>
    <s v="N_0624R13C"/>
    <s v="June"/>
    <n v="3"/>
    <x v="9"/>
    <n v="87.22"/>
    <n v="12"/>
    <n v="27.35"/>
  </r>
  <r>
    <s v="N_0624R13C"/>
    <s v="June"/>
    <n v="3"/>
    <x v="10"/>
    <n v="85.6"/>
    <n v="23.58"/>
    <n v="60.04"/>
  </r>
  <r>
    <s v="N_0624R13C"/>
    <s v="June"/>
    <n v="3"/>
    <x v="11"/>
    <n v="46.37"/>
    <n v="85.6"/>
    <n v="25.43"/>
  </r>
  <r>
    <s v="N_0624R13C"/>
    <s v="June"/>
    <n v="3"/>
    <x v="12"/>
    <n v="10.9"/>
    <n v="84.84"/>
    <n v="25.02"/>
  </r>
  <r>
    <s v="N_0624R13C"/>
    <s v="June"/>
    <n v="3"/>
    <x v="13"/>
    <n v="84.6"/>
    <n v="46.37"/>
    <n v="38.950000000000003"/>
  </r>
  <r>
    <s v="N_0624R13C"/>
    <s v="June"/>
    <n v="3"/>
    <x v="14"/>
    <n v="82.78"/>
    <n v="17.510000000000002"/>
    <n v="16.73"/>
  </r>
  <r>
    <s v="N_0624R13C"/>
    <s v="June"/>
    <n v="3"/>
    <x v="15"/>
    <n v="81.22"/>
    <n v="48.66"/>
    <n v="82.63"/>
  </r>
  <r>
    <s v="N_0624R13C"/>
    <s v="June"/>
    <n v="3"/>
    <x v="16"/>
    <n v="30.55"/>
    <n v="41.48"/>
    <n v="82.6"/>
  </r>
  <r>
    <s v="N_0624R13C"/>
    <s v="June"/>
    <n v="3"/>
    <x v="17"/>
    <n v="82.44"/>
    <n v="25.43"/>
    <n v="49.89"/>
  </r>
  <r>
    <s v="N_0624R13C"/>
    <s v="June"/>
    <n v="3"/>
    <x v="18"/>
    <n v="82.44"/>
    <n v="46.37"/>
    <n v="11"/>
  </r>
  <r>
    <s v="N_0624R13C"/>
    <s v="June"/>
    <n v="3"/>
    <x v="19"/>
    <n v="82.41"/>
    <n v="51.78"/>
    <n v="69.790000000000006"/>
  </r>
  <r>
    <s v="N_0624R22C"/>
    <s v="June"/>
    <n v="2"/>
    <x v="20"/>
    <m/>
    <m/>
    <n v="100"/>
  </r>
  <r>
    <s v="N_0624R22C"/>
    <s v="June"/>
    <n v="2"/>
    <x v="21"/>
    <m/>
    <m/>
    <n v="91.7"/>
  </r>
  <r>
    <s v="N_0624R22C"/>
    <s v="June"/>
    <n v="2"/>
    <x v="17"/>
    <m/>
    <m/>
    <n v="84.95"/>
  </r>
  <r>
    <s v="N_0624R22C"/>
    <s v="June"/>
    <n v="2"/>
    <x v="22"/>
    <m/>
    <m/>
    <n v="80.34"/>
  </r>
  <r>
    <s v="N_0624R22C"/>
    <s v="June"/>
    <n v="2"/>
    <x v="23"/>
    <m/>
    <m/>
    <n v="76.87"/>
  </r>
  <r>
    <s v="N_0624R22C"/>
    <s v="June"/>
    <n v="2"/>
    <x v="24"/>
    <m/>
    <m/>
    <n v="76.61"/>
  </r>
  <r>
    <s v="N_0624R22C"/>
    <s v="June"/>
    <n v="2"/>
    <x v="8"/>
    <m/>
    <m/>
    <n v="72.16"/>
  </r>
  <r>
    <s v="N_0624R22C"/>
    <s v="June"/>
    <n v="2"/>
    <x v="25"/>
    <m/>
    <m/>
    <n v="72.08"/>
  </r>
  <r>
    <s v="N_0624R22C"/>
    <s v="June"/>
    <n v="2"/>
    <x v="26"/>
    <m/>
    <m/>
    <n v="70.180000000000007"/>
  </r>
  <r>
    <s v="N_0624R22C"/>
    <s v="June"/>
    <n v="2"/>
    <x v="27"/>
    <m/>
    <m/>
    <n v="69.739999999999995"/>
  </r>
  <r>
    <s v="N_0624R22C"/>
    <s v="June"/>
    <n v="2"/>
    <x v="28"/>
    <m/>
    <m/>
    <n v="69.569999999999993"/>
  </r>
  <r>
    <s v="N_0624R22C"/>
    <s v="June"/>
    <n v="2"/>
    <x v="29"/>
    <m/>
    <m/>
    <n v="69.400000000000006"/>
  </r>
  <r>
    <s v="N_0624R22C"/>
    <s v="June"/>
    <n v="2"/>
    <x v="4"/>
    <m/>
    <m/>
    <n v="68.39"/>
  </r>
  <r>
    <s v="N_0624R22C"/>
    <s v="June"/>
    <n v="2"/>
    <x v="30"/>
    <m/>
    <m/>
    <n v="67.989999999999995"/>
  </r>
  <r>
    <s v="N_0624R22C"/>
    <s v="June"/>
    <n v="2"/>
    <x v="31"/>
    <m/>
    <m/>
    <n v="67.86"/>
  </r>
  <r>
    <s v="N_0624R22C"/>
    <s v="June"/>
    <n v="2"/>
    <x v="32"/>
    <m/>
    <m/>
    <n v="67.17"/>
  </r>
  <r>
    <s v="N_0624R22C"/>
    <s v="June"/>
    <n v="2"/>
    <x v="33"/>
    <m/>
    <m/>
    <n v="65.75"/>
  </r>
  <r>
    <s v="N_0624R22C"/>
    <s v="June"/>
    <n v="2"/>
    <x v="34"/>
    <m/>
    <m/>
    <n v="63.45"/>
  </r>
  <r>
    <s v="N_0624R22C"/>
    <s v="June"/>
    <n v="2"/>
    <x v="35"/>
    <m/>
    <m/>
    <n v="63.34"/>
  </r>
  <r>
    <s v="N_0624R22C"/>
    <s v="June"/>
    <n v="2"/>
    <x v="15"/>
    <m/>
    <m/>
    <n v="63.18"/>
  </r>
  <r>
    <s v="P_0624R13C"/>
    <s v="June"/>
    <n v="3"/>
    <x v="36"/>
    <n v="100"/>
    <n v="78.698999999999998"/>
    <n v="84.97"/>
  </r>
  <r>
    <s v="P_0624R13C"/>
    <s v="June"/>
    <n v="3"/>
    <x v="37"/>
    <n v="88.58"/>
    <n v="57.499000000000002"/>
    <n v="56.58"/>
  </r>
  <r>
    <s v="P_0624R13C"/>
    <s v="June"/>
    <n v="3"/>
    <x v="20"/>
    <n v="88.57"/>
    <n v="33.494999999999997"/>
    <n v="65.209999999999994"/>
  </r>
  <r>
    <s v="P_0624R13C"/>
    <s v="June"/>
    <n v="3"/>
    <x v="22"/>
    <n v="87.76"/>
    <n v="34.841999999999999"/>
    <n v="67.84"/>
  </r>
  <r>
    <s v="P_0624R13C"/>
    <s v="June"/>
    <n v="3"/>
    <x v="38"/>
    <n v="64.599999999999994"/>
    <n v="63.725000000000001"/>
    <n v="83.85"/>
  </r>
  <r>
    <s v="P_0624R13C"/>
    <s v="June"/>
    <n v="3"/>
    <x v="26"/>
    <n v="83.23"/>
    <n v="54.598999999999997"/>
    <n v="69.36"/>
  </r>
  <r>
    <s v="P_0624R13C"/>
    <s v="June"/>
    <n v="3"/>
    <x v="39"/>
    <n v="39.85"/>
    <n v="77.277000000000001"/>
    <n v="80.78"/>
  </r>
  <r>
    <s v="P_0624R13C"/>
    <s v="June"/>
    <n v="3"/>
    <x v="40"/>
    <n v="75.760000000000005"/>
    <n v="56.61"/>
    <n v="40.700000000000003"/>
  </r>
  <r>
    <s v="P_0624R13C"/>
    <s v="June"/>
    <n v="3"/>
    <x v="41"/>
    <n v="48.2"/>
    <n v="62.17"/>
    <n v="75.739999999999995"/>
  </r>
  <r>
    <s v="P_0624R13C"/>
    <s v="June"/>
    <n v="3"/>
    <x v="42"/>
    <n v="74.430000000000007"/>
    <n v="37.432000000000002"/>
    <n v="51.29"/>
  </r>
  <r>
    <s v="P_0624R13C"/>
    <s v="June"/>
    <n v="3"/>
    <x v="43"/>
    <n v="58.34"/>
    <n v="54.597000000000001"/>
    <n v="74.209999999999994"/>
  </r>
  <r>
    <s v="P_0624R13C"/>
    <s v="June"/>
    <n v="3"/>
    <x v="44"/>
    <n v="35.75"/>
    <n v="49.31"/>
    <n v="74.150000000000006"/>
  </r>
  <r>
    <s v="P_0624R13C"/>
    <s v="June"/>
    <n v="3"/>
    <x v="45"/>
    <n v="32.08"/>
    <n v="65.906999999999996"/>
    <n v="72.209999999999994"/>
  </r>
  <r>
    <s v="P_0624R13C"/>
    <s v="June"/>
    <n v="3"/>
    <x v="35"/>
    <n v="71.7"/>
    <n v="12.451000000000001"/>
    <n v="57.73"/>
  </r>
  <r>
    <s v="P_0624R13C"/>
    <s v="June"/>
    <n v="3"/>
    <x v="46"/>
    <n v="69.41"/>
    <n v="69.001000000000005"/>
    <n v="63.4"/>
  </r>
  <r>
    <s v="P_0624R13C"/>
    <s v="June"/>
    <n v="3"/>
    <x v="47"/>
    <n v="67.099999999999994"/>
    <n v="28.706"/>
    <n v="39.96"/>
  </r>
  <r>
    <s v="P_0624R13C"/>
    <s v="June"/>
    <n v="3"/>
    <x v="48"/>
    <n v="62.08"/>
    <n v="9.1620000000000008"/>
    <n v="66.959999999999994"/>
  </r>
  <r>
    <s v="P_0624R13C"/>
    <s v="June"/>
    <n v="3"/>
    <x v="49"/>
    <n v="55.82"/>
    <n v="25.757000000000001"/>
    <n v="66.599999999999994"/>
  </r>
  <r>
    <s v="P_0624R13C"/>
    <s v="June"/>
    <n v="3"/>
    <x v="50"/>
    <n v="38.97"/>
    <n v="66.337000000000003"/>
    <n v="41.46"/>
  </r>
  <r>
    <s v="P_0624R13C"/>
    <s v="June"/>
    <n v="3"/>
    <x v="51"/>
    <n v="65.41"/>
    <n v="52.387999999999998"/>
    <n v="65.84"/>
  </r>
  <r>
    <s v="P_0624R22C"/>
    <s v="June"/>
    <n v="2"/>
    <x v="22"/>
    <m/>
    <m/>
    <n v="100"/>
  </r>
  <r>
    <s v="P_0624R22C"/>
    <s v="June"/>
    <n v="2"/>
    <x v="42"/>
    <m/>
    <m/>
    <n v="96.51"/>
  </r>
  <r>
    <s v="P_0624R22C"/>
    <s v="June"/>
    <n v="2"/>
    <x v="20"/>
    <m/>
    <m/>
    <n v="90.85"/>
  </r>
  <r>
    <s v="P_0624R22C"/>
    <s v="June"/>
    <n v="2"/>
    <x v="26"/>
    <m/>
    <m/>
    <n v="89.63"/>
  </r>
  <r>
    <s v="P_0624R22C"/>
    <s v="June"/>
    <n v="2"/>
    <x v="37"/>
    <m/>
    <m/>
    <n v="84.83"/>
  </r>
  <r>
    <s v="P_0624R22C"/>
    <s v="June"/>
    <n v="2"/>
    <x v="51"/>
    <m/>
    <m/>
    <n v="83.6"/>
  </r>
  <r>
    <s v="P_0624R22C"/>
    <s v="June"/>
    <n v="2"/>
    <x v="36"/>
    <m/>
    <m/>
    <n v="80.900000000000006"/>
  </r>
  <r>
    <s v="P_0624R22C"/>
    <s v="June"/>
    <n v="2"/>
    <x v="52"/>
    <m/>
    <m/>
    <n v="77.709999999999994"/>
  </r>
  <r>
    <s v="P_0624R22C"/>
    <s v="June"/>
    <n v="2"/>
    <x v="53"/>
    <m/>
    <m/>
    <n v="77.58"/>
  </r>
  <r>
    <s v="P_0624R22C"/>
    <s v="June"/>
    <n v="2"/>
    <x v="38"/>
    <m/>
    <m/>
    <n v="73.36"/>
  </r>
  <r>
    <s v="P_0624R22C"/>
    <s v="June"/>
    <n v="2"/>
    <x v="49"/>
    <m/>
    <m/>
    <n v="72.010000000000005"/>
  </r>
  <r>
    <s v="P_0624R22C"/>
    <s v="June"/>
    <n v="2"/>
    <x v="54"/>
    <m/>
    <m/>
    <n v="71.72"/>
  </r>
  <r>
    <s v="P_0624R22C"/>
    <s v="June"/>
    <n v="2"/>
    <x v="17"/>
    <m/>
    <m/>
    <n v="69.16"/>
  </r>
  <r>
    <s v="P_0624R22C"/>
    <s v="June"/>
    <n v="2"/>
    <x v="23"/>
    <m/>
    <m/>
    <n v="98.98"/>
  </r>
  <r>
    <s v="P_0624R22C"/>
    <s v="June"/>
    <n v="2"/>
    <x v="55"/>
    <m/>
    <m/>
    <n v="68.14"/>
  </r>
  <r>
    <s v="P_0624R22C"/>
    <s v="June"/>
    <n v="2"/>
    <x v="56"/>
    <m/>
    <m/>
    <n v="68.11"/>
  </r>
  <r>
    <s v="P_0624R22C"/>
    <s v="June"/>
    <n v="2"/>
    <x v="57"/>
    <m/>
    <m/>
    <n v="67.02"/>
  </r>
  <r>
    <s v="P_0624R22C"/>
    <s v="June"/>
    <n v="2"/>
    <x v="58"/>
    <m/>
    <m/>
    <n v="66.83"/>
  </r>
  <r>
    <s v="P_0624R22C"/>
    <s v="June"/>
    <n v="2"/>
    <x v="41"/>
    <m/>
    <m/>
    <n v="66.2"/>
  </r>
  <r>
    <s v="P_0624R22C"/>
    <s v="June"/>
    <n v="2"/>
    <x v="47"/>
    <m/>
    <m/>
    <n v="63.6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N_0824R13C"/>
    <s v="August"/>
    <n v="3"/>
    <x v="0"/>
    <n v="19.403400000000001"/>
    <n v="100"/>
    <n v="94.64"/>
  </r>
  <r>
    <s v="N_0824R13C"/>
    <s v="August"/>
    <n v="3"/>
    <x v="1"/>
    <n v="27.109400000000001"/>
    <n v="90.78"/>
    <n v="68.86"/>
  </r>
  <r>
    <s v="N_0824R13C"/>
    <s v="August"/>
    <n v="3"/>
    <x v="2"/>
    <n v="0.81710000000000005"/>
    <n v="88.18"/>
    <n v="90.65"/>
  </r>
  <r>
    <s v="N_0824R13C"/>
    <s v="August"/>
    <n v="3"/>
    <x v="3"/>
    <n v="13.454800000000001"/>
    <n v="85.87"/>
    <n v="65.27"/>
  </r>
  <r>
    <s v="N_0824R13C"/>
    <s v="August"/>
    <n v="3"/>
    <x v="4"/>
    <n v="36.523400000000002"/>
    <n v="39.64"/>
    <n v="76.819999999999993"/>
  </r>
  <r>
    <s v="N_0824R13C"/>
    <s v="August"/>
    <n v="3"/>
    <x v="5"/>
    <n v="17.911999999999999"/>
    <n v="76.62"/>
    <n v="57.03"/>
  </r>
  <r>
    <s v="N_0824R13C"/>
    <s v="August"/>
    <n v="3"/>
    <x v="6"/>
    <n v="60.608899999999998"/>
    <n v="70.77"/>
    <n v="16.28"/>
  </r>
  <r>
    <s v="N_0824R13C"/>
    <s v="August"/>
    <n v="3"/>
    <x v="7"/>
    <n v="27.1738"/>
    <n v="54.42"/>
    <n v="69.56"/>
  </r>
  <r>
    <s v="N_0824R13C"/>
    <s v="August"/>
    <n v="3"/>
    <x v="8"/>
    <n v="19.8324"/>
    <n v="41.23"/>
    <n v="69.540000000000006"/>
  </r>
  <r>
    <s v="N_0824R13C"/>
    <s v="August"/>
    <n v="3"/>
    <x v="9"/>
    <n v="40.452399999999997"/>
    <n v="69.459999999999994"/>
    <n v="26"/>
  </r>
  <r>
    <s v="N_0824R13C"/>
    <s v="August"/>
    <n v="3"/>
    <x v="10"/>
    <n v="20.065300000000001"/>
    <n v="52.81"/>
    <n v="68.569999999999993"/>
  </r>
  <r>
    <s v="N_0824R13C"/>
    <s v="August"/>
    <n v="3"/>
    <x v="11"/>
    <n v="35.540399999999998"/>
    <n v="67.09"/>
    <n v="12.47"/>
  </r>
  <r>
    <s v="N_0824R13C"/>
    <s v="August"/>
    <n v="3"/>
    <x v="12"/>
    <n v="43.359900000000003"/>
    <n v="66.959999999999994"/>
    <n v="29.82"/>
  </r>
  <r>
    <s v="N_0824R13C"/>
    <s v="August"/>
    <n v="3"/>
    <x v="13"/>
    <n v="56.410200000000003"/>
    <n v="66.42"/>
    <n v="24.67"/>
  </r>
  <r>
    <s v="N_0824R13C"/>
    <s v="August"/>
    <n v="3"/>
    <x v="14"/>
    <n v="65.8078"/>
    <n v="34.26"/>
    <n v="55.07"/>
  </r>
  <r>
    <s v="N_0824R13C"/>
    <s v="August"/>
    <n v="3"/>
    <x v="15"/>
    <n v="29.041399999999999"/>
    <n v="65.75"/>
    <n v="37.369999999999997"/>
  </r>
  <r>
    <s v="N_0824R13C"/>
    <s v="August"/>
    <n v="3"/>
    <x v="16"/>
    <n v="24.7803"/>
    <n v="65.709999999999994"/>
    <n v="25.3"/>
  </r>
  <r>
    <s v="N_0824R13C"/>
    <s v="August"/>
    <n v="3"/>
    <x v="17"/>
    <n v="57.619599999999998"/>
    <n v="63.67"/>
    <n v="15.98"/>
  </r>
  <r>
    <s v="N_0824R13C"/>
    <s v="August"/>
    <n v="3"/>
    <x v="18"/>
    <n v="48.9116"/>
    <n v="63.44"/>
    <n v="17.93"/>
  </r>
  <r>
    <s v="N_0824R13C"/>
    <s v="August"/>
    <n v="3"/>
    <x v="19"/>
    <n v="15.851900000000001"/>
    <n v="47.29"/>
    <n v="63.06"/>
  </r>
  <r>
    <s v="N_0824R22C"/>
    <s v="August"/>
    <n v="2"/>
    <x v="4"/>
    <m/>
    <m/>
    <n v="100"/>
  </r>
  <r>
    <s v="N_0824R22C"/>
    <s v="August"/>
    <n v="2"/>
    <x v="0"/>
    <m/>
    <m/>
    <n v="97.8"/>
  </r>
  <r>
    <s v="N_0824R22C"/>
    <s v="August"/>
    <n v="2"/>
    <x v="20"/>
    <m/>
    <m/>
    <n v="92.57"/>
  </r>
  <r>
    <s v="N_0824R22C"/>
    <s v="August"/>
    <n v="2"/>
    <x v="21"/>
    <m/>
    <m/>
    <n v="92.07"/>
  </r>
  <r>
    <s v="N_0824R22C"/>
    <s v="August"/>
    <n v="2"/>
    <x v="2"/>
    <m/>
    <m/>
    <n v="89.68"/>
  </r>
  <r>
    <s v="N_0824R22C"/>
    <s v="August"/>
    <n v="2"/>
    <x v="22"/>
    <m/>
    <m/>
    <n v="83.6"/>
  </r>
  <r>
    <s v="N_0824R22C"/>
    <s v="August"/>
    <n v="2"/>
    <x v="1"/>
    <m/>
    <m/>
    <n v="80.97"/>
  </r>
  <r>
    <s v="N_0824R22C"/>
    <s v="August"/>
    <n v="2"/>
    <x v="23"/>
    <m/>
    <m/>
    <n v="79.739999999999995"/>
  </r>
  <r>
    <s v="N_0824R22C"/>
    <s v="August"/>
    <n v="2"/>
    <x v="10"/>
    <m/>
    <m/>
    <n v="79.489999999999995"/>
  </r>
  <r>
    <s v="N_0824R22C"/>
    <s v="August"/>
    <n v="2"/>
    <x v="24"/>
    <m/>
    <m/>
    <n v="77.930000000000007"/>
  </r>
  <r>
    <s v="N_0824R22C"/>
    <s v="August"/>
    <n v="2"/>
    <x v="25"/>
    <m/>
    <m/>
    <n v="77.47"/>
  </r>
  <r>
    <s v="N_0824R22C"/>
    <s v="August"/>
    <n v="2"/>
    <x v="8"/>
    <m/>
    <m/>
    <n v="76.27"/>
  </r>
  <r>
    <s v="N_0824R22C"/>
    <s v="August"/>
    <n v="2"/>
    <x v="26"/>
    <m/>
    <m/>
    <n v="72.88"/>
  </r>
  <r>
    <s v="N_0824R22C"/>
    <s v="August"/>
    <n v="2"/>
    <x v="27"/>
    <m/>
    <m/>
    <n v="70.41"/>
  </r>
  <r>
    <s v="N_0824R22C"/>
    <s v="August"/>
    <n v="2"/>
    <x v="28"/>
    <m/>
    <m/>
    <n v="69.489999999999995"/>
  </r>
  <r>
    <s v="N_0824R22C"/>
    <s v="August"/>
    <n v="2"/>
    <x v="29"/>
    <m/>
    <m/>
    <n v="67.31"/>
  </r>
  <r>
    <s v="N_0824R22C"/>
    <s v="August"/>
    <n v="2"/>
    <x v="30"/>
    <m/>
    <m/>
    <n v="66.83"/>
  </r>
  <r>
    <s v="N_0824R22C"/>
    <s v="August"/>
    <n v="2"/>
    <x v="31"/>
    <m/>
    <m/>
    <n v="65.12"/>
  </r>
  <r>
    <s v="N_0824R22C"/>
    <s v="August"/>
    <n v="2"/>
    <x v="32"/>
    <m/>
    <m/>
    <n v="64.290000000000006"/>
  </r>
  <r>
    <s v="N_0824R22C"/>
    <s v="August"/>
    <n v="2"/>
    <x v="33"/>
    <m/>
    <m/>
    <n v="64.11"/>
  </r>
  <r>
    <s v="P_0824R13C"/>
    <s v="August"/>
    <n v="3"/>
    <x v="34"/>
    <n v="100"/>
    <n v="72.58"/>
    <n v="84.67"/>
  </r>
  <r>
    <s v="P_0824R13C"/>
    <s v="August"/>
    <n v="3"/>
    <x v="35"/>
    <n v="90.88"/>
    <n v="57.15"/>
    <n v="86.77"/>
  </r>
  <r>
    <s v="P_0824R13C"/>
    <s v="August"/>
    <n v="3"/>
    <x v="36"/>
    <n v="37.46"/>
    <n v="90.56"/>
    <n v="58.23"/>
  </r>
  <r>
    <s v="P_0824R13C"/>
    <s v="August"/>
    <n v="3"/>
    <x v="37"/>
    <n v="90.04"/>
    <n v="52.41"/>
    <n v="67.75"/>
  </r>
  <r>
    <s v="P_0824R13C"/>
    <s v="August"/>
    <n v="3"/>
    <x v="38"/>
    <n v="70.650000000000006"/>
    <n v="25.09"/>
    <n v="86.8"/>
  </r>
  <r>
    <s v="P_0824R13C"/>
    <s v="August"/>
    <n v="3"/>
    <x v="39"/>
    <n v="85.05"/>
    <n v="29.24"/>
    <n v="80.319999999999993"/>
  </r>
  <r>
    <s v="P_0824R13C"/>
    <s v="August"/>
    <n v="3"/>
    <x v="40"/>
    <n v="76.17"/>
    <n v="35.049999999999997"/>
    <n v="84.49"/>
  </r>
  <r>
    <s v="P_0824R13C"/>
    <s v="August"/>
    <n v="3"/>
    <x v="41"/>
    <n v="82.61"/>
    <n v="69.34"/>
    <n v="75.09"/>
  </r>
  <r>
    <s v="P_0824R13C"/>
    <s v="August"/>
    <n v="3"/>
    <x v="42"/>
    <n v="31.4"/>
    <n v="41.06"/>
    <n v="82.53"/>
  </r>
  <r>
    <s v="P_0824R13C"/>
    <s v="August"/>
    <n v="3"/>
    <x v="43"/>
    <n v="82.04"/>
    <n v="59.95"/>
    <n v="59.21"/>
  </r>
  <r>
    <s v="P_0824R13C"/>
    <s v="August"/>
    <n v="3"/>
    <x v="26"/>
    <n v="81.03"/>
    <n v="36.229999999999997"/>
    <n v="76.790000000000006"/>
  </r>
  <r>
    <s v="P_0824R13C"/>
    <s v="August"/>
    <n v="3"/>
    <x v="44"/>
    <n v="50.39"/>
    <n v="49.25"/>
    <n v="80.8"/>
  </r>
  <r>
    <s v="P_0824R13C"/>
    <s v="August"/>
    <n v="3"/>
    <x v="45"/>
    <n v="79.819999999999993"/>
    <n v="41.35"/>
    <n v="24.23"/>
  </r>
  <r>
    <s v="P_0824R13C"/>
    <s v="August"/>
    <n v="3"/>
    <x v="29"/>
    <n v="78.95"/>
    <n v="25.98"/>
    <n v="55.88"/>
  </r>
  <r>
    <s v="P_0824R13C"/>
    <s v="August"/>
    <n v="3"/>
    <x v="46"/>
    <n v="78.489999999999995"/>
    <n v="62.19"/>
    <n v="33.78"/>
  </r>
  <r>
    <s v="P_0824R13C"/>
    <s v="August"/>
    <n v="3"/>
    <x v="47"/>
    <n v="74.31"/>
    <n v="72.36"/>
    <n v="34.5"/>
  </r>
  <r>
    <s v="P_0824R13C"/>
    <s v="August"/>
    <n v="3"/>
    <x v="48"/>
    <n v="61.62"/>
    <n v="36.97"/>
    <n v="74.099999999999994"/>
  </r>
  <r>
    <s v="P_0824R13C"/>
    <s v="August"/>
    <n v="3"/>
    <x v="49"/>
    <n v="52.38"/>
    <n v="33.9"/>
    <n v="74.010000000000005"/>
  </r>
  <r>
    <s v="P_0824R13C"/>
    <s v="August"/>
    <n v="3"/>
    <x v="50"/>
    <n v="63.84"/>
    <n v="28.38"/>
    <n v="73.75"/>
  </r>
  <r>
    <s v="P_0824R13C"/>
    <s v="August"/>
    <n v="3"/>
    <x v="51"/>
    <n v="73.650000000000006"/>
    <n v="50.89"/>
    <n v="53.53"/>
  </r>
  <r>
    <s v="P_0824R22C"/>
    <s v="August"/>
    <n v="2"/>
    <x v="37"/>
    <m/>
    <m/>
    <n v="100"/>
  </r>
  <r>
    <s v="P_0824R22C"/>
    <s v="August"/>
    <n v="2"/>
    <x v="34"/>
    <m/>
    <m/>
    <n v="92.59"/>
  </r>
  <r>
    <s v="P_0824R22C"/>
    <s v="August"/>
    <n v="2"/>
    <x v="35"/>
    <m/>
    <m/>
    <n v="81.77"/>
  </r>
  <r>
    <s v="P_0824R22C"/>
    <s v="August"/>
    <n v="2"/>
    <x v="41"/>
    <m/>
    <m/>
    <n v="77.77"/>
  </r>
  <r>
    <s v="P_0824R22C"/>
    <s v="August"/>
    <n v="2"/>
    <x v="43"/>
    <m/>
    <m/>
    <n v="71.23"/>
  </r>
  <r>
    <s v="P_0824R22C"/>
    <s v="August"/>
    <n v="2"/>
    <x v="39"/>
    <m/>
    <m/>
    <n v="66.55"/>
  </r>
  <r>
    <s v="P_0824R22C"/>
    <s v="August"/>
    <n v="2"/>
    <x v="52"/>
    <m/>
    <m/>
    <n v="65"/>
  </r>
  <r>
    <s v="P_0824R22C"/>
    <s v="August"/>
    <n v="2"/>
    <x v="53"/>
    <m/>
    <m/>
    <n v="57.83"/>
  </r>
  <r>
    <s v="P_0824R22C"/>
    <s v="August"/>
    <n v="2"/>
    <x v="54"/>
    <m/>
    <m/>
    <n v="54.01"/>
  </r>
  <r>
    <s v="P_0824R22C"/>
    <s v="August"/>
    <n v="2"/>
    <x v="50"/>
    <m/>
    <m/>
    <n v="53.14"/>
  </r>
  <r>
    <s v="P_0824R22C"/>
    <s v="August"/>
    <n v="2"/>
    <x v="44"/>
    <m/>
    <m/>
    <n v="51.96"/>
  </r>
  <r>
    <s v="P_0824R22C"/>
    <s v="August"/>
    <n v="2"/>
    <x v="40"/>
    <m/>
    <m/>
    <n v="51.58"/>
  </r>
  <r>
    <s v="P_0824R22C"/>
    <s v="August"/>
    <n v="2"/>
    <x v="55"/>
    <m/>
    <m/>
    <n v="51.39"/>
  </r>
  <r>
    <s v="P_0824R22C"/>
    <s v="August"/>
    <n v="2"/>
    <x v="56"/>
    <m/>
    <m/>
    <n v="51.3"/>
  </r>
  <r>
    <s v="P_0824R22C"/>
    <s v="August"/>
    <n v="2"/>
    <x v="57"/>
    <m/>
    <m/>
    <n v="50.88"/>
  </r>
  <r>
    <s v="P_0824R22C"/>
    <s v="August"/>
    <n v="2"/>
    <x v="58"/>
    <m/>
    <m/>
    <n v="50.85"/>
  </r>
  <r>
    <s v="P_0824R22C"/>
    <s v="August"/>
    <n v="2"/>
    <x v="59"/>
    <m/>
    <m/>
    <n v="49.62"/>
  </r>
  <r>
    <s v="P_0824R22C"/>
    <s v="August"/>
    <n v="2"/>
    <x v="60"/>
    <m/>
    <m/>
    <n v="49.58"/>
  </r>
  <r>
    <s v="P_0824R22C"/>
    <s v="August"/>
    <n v="2"/>
    <x v="61"/>
    <m/>
    <m/>
    <n v="48.84"/>
  </r>
  <r>
    <s v="P_0824R22C"/>
    <s v="August"/>
    <n v="2"/>
    <x v="38"/>
    <m/>
    <m/>
    <n v="48.4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N_0624R13C"/>
    <s v="June"/>
    <n v="3"/>
    <x v="0"/>
    <n v="70.290000000000006"/>
    <n v="75.27"/>
    <n v="100"/>
  </r>
  <r>
    <s v="N_0624R13C"/>
    <s v="June"/>
    <n v="3"/>
    <x v="1"/>
    <n v="96.22"/>
    <n v="22.1"/>
    <n v="69.72"/>
  </r>
  <r>
    <s v="N_0624R13C"/>
    <s v="June"/>
    <n v="3"/>
    <x v="2"/>
    <n v="19.649999999999999"/>
    <n v="17.87"/>
    <n v="91.04"/>
  </r>
  <r>
    <s v="N_0624R13C"/>
    <s v="June"/>
    <n v="3"/>
    <x v="3"/>
    <n v="89.02"/>
    <n v="82.05"/>
    <n v="46.37"/>
  </r>
  <r>
    <s v="N_0624R13C"/>
    <s v="June"/>
    <n v="3"/>
    <x v="4"/>
    <n v="88.17"/>
    <n v="72.22"/>
    <n v="75.790000000000006"/>
  </r>
  <r>
    <s v="N_0624R13C"/>
    <s v="June"/>
    <n v="3"/>
    <x v="5"/>
    <n v="17.59"/>
    <n v="18"/>
    <n v="88.08"/>
  </r>
  <r>
    <s v="N_0624R13C"/>
    <s v="June"/>
    <n v="3"/>
    <x v="6"/>
    <n v="67.3"/>
    <n v="73.36"/>
    <n v="87.56"/>
  </r>
  <r>
    <s v="N_0624R13C"/>
    <s v="June"/>
    <n v="3"/>
    <x v="7"/>
    <n v="87.38"/>
    <n v="30.66"/>
    <n v="13.33"/>
  </r>
  <r>
    <s v="N_0624R13C"/>
    <s v="June"/>
    <n v="3"/>
    <x v="8"/>
    <n v="87.28"/>
    <n v="61.27"/>
    <n v="46.37"/>
  </r>
  <r>
    <s v="N_0624R13C"/>
    <s v="June"/>
    <n v="3"/>
    <x v="9"/>
    <n v="87.22"/>
    <n v="12"/>
    <n v="27.35"/>
  </r>
  <r>
    <s v="N_0624R13C"/>
    <s v="June"/>
    <n v="3"/>
    <x v="10"/>
    <n v="85.6"/>
    <n v="23.58"/>
    <n v="60.04"/>
  </r>
  <r>
    <s v="N_0624R13C"/>
    <s v="June"/>
    <n v="3"/>
    <x v="11"/>
    <n v="46.37"/>
    <n v="85.6"/>
    <n v="25.43"/>
  </r>
  <r>
    <s v="N_0624R13C"/>
    <s v="June"/>
    <n v="3"/>
    <x v="12"/>
    <n v="10.9"/>
    <n v="84.84"/>
    <n v="25.02"/>
  </r>
  <r>
    <s v="N_0624R13C"/>
    <s v="June"/>
    <n v="3"/>
    <x v="13"/>
    <n v="84.6"/>
    <n v="46.37"/>
    <n v="38.950000000000003"/>
  </r>
  <r>
    <s v="N_0624R13C"/>
    <s v="June"/>
    <n v="3"/>
    <x v="14"/>
    <n v="82.78"/>
    <n v="17.510000000000002"/>
    <n v="16.73"/>
  </r>
  <r>
    <s v="N_0624R13C"/>
    <s v="June"/>
    <n v="3"/>
    <x v="15"/>
    <n v="81.22"/>
    <n v="48.66"/>
    <n v="82.63"/>
  </r>
  <r>
    <s v="N_0624R13C"/>
    <s v="June"/>
    <n v="3"/>
    <x v="16"/>
    <n v="30.55"/>
    <n v="41.48"/>
    <n v="82.6"/>
  </r>
  <r>
    <s v="N_0624R13C"/>
    <s v="June"/>
    <n v="3"/>
    <x v="17"/>
    <n v="82.44"/>
    <n v="25.43"/>
    <n v="49.89"/>
  </r>
  <r>
    <s v="N_0624R13C"/>
    <s v="June"/>
    <n v="3"/>
    <x v="18"/>
    <n v="82.44"/>
    <n v="46.37"/>
    <n v="11"/>
  </r>
  <r>
    <s v="N_0624R13C"/>
    <s v="June"/>
    <n v="3"/>
    <x v="19"/>
    <n v="82.41"/>
    <n v="51.78"/>
    <n v="69.790000000000006"/>
  </r>
  <r>
    <s v="P_0624R13C"/>
    <s v="June"/>
    <n v="3"/>
    <x v="20"/>
    <n v="100"/>
    <n v="78.698999999999998"/>
    <n v="84.97"/>
  </r>
  <r>
    <s v="P_0624R13C"/>
    <s v="June"/>
    <n v="3"/>
    <x v="21"/>
    <n v="88.58"/>
    <n v="57.499000000000002"/>
    <n v="56.58"/>
  </r>
  <r>
    <s v="P_0624R13C"/>
    <s v="June"/>
    <n v="3"/>
    <x v="22"/>
    <n v="88.57"/>
    <n v="33.494999999999997"/>
    <n v="65.209999999999994"/>
  </r>
  <r>
    <s v="P_0624R13C"/>
    <s v="June"/>
    <n v="3"/>
    <x v="23"/>
    <n v="87.76"/>
    <n v="34.841999999999999"/>
    <n v="67.84"/>
  </r>
  <r>
    <s v="P_0624R13C"/>
    <s v="June"/>
    <n v="3"/>
    <x v="24"/>
    <n v="64.599999999999994"/>
    <n v="63.725000000000001"/>
    <n v="83.85"/>
  </r>
  <r>
    <s v="P_0624R13C"/>
    <s v="June"/>
    <n v="3"/>
    <x v="25"/>
    <n v="83.23"/>
    <n v="54.598999999999997"/>
    <n v="69.36"/>
  </r>
  <r>
    <s v="P_0624R13C"/>
    <s v="June"/>
    <n v="3"/>
    <x v="26"/>
    <n v="39.85"/>
    <n v="77.277000000000001"/>
    <n v="80.78"/>
  </r>
  <r>
    <s v="P_0624R13C"/>
    <s v="June"/>
    <n v="3"/>
    <x v="27"/>
    <n v="75.760000000000005"/>
    <n v="56.61"/>
    <n v="40.700000000000003"/>
  </r>
  <r>
    <s v="P_0624R13C"/>
    <s v="June"/>
    <n v="3"/>
    <x v="28"/>
    <n v="48.2"/>
    <n v="62.17"/>
    <n v="75.739999999999995"/>
  </r>
  <r>
    <s v="P_0624R13C"/>
    <s v="June"/>
    <n v="3"/>
    <x v="29"/>
    <n v="74.430000000000007"/>
    <n v="37.432000000000002"/>
    <n v="51.29"/>
  </r>
  <r>
    <s v="P_0624R13C"/>
    <s v="June"/>
    <n v="3"/>
    <x v="30"/>
    <n v="58.34"/>
    <n v="54.597000000000001"/>
    <n v="74.209999999999994"/>
  </r>
  <r>
    <s v="P_0624R13C"/>
    <s v="June"/>
    <n v="3"/>
    <x v="31"/>
    <n v="35.75"/>
    <n v="49.31"/>
    <n v="74.150000000000006"/>
  </r>
  <r>
    <s v="P_0624R13C"/>
    <s v="June"/>
    <n v="3"/>
    <x v="32"/>
    <n v="32.08"/>
    <n v="65.906999999999996"/>
    <n v="72.209999999999994"/>
  </r>
  <r>
    <s v="P_0624R13C"/>
    <s v="June"/>
    <n v="3"/>
    <x v="33"/>
    <n v="71.7"/>
    <n v="12.451000000000001"/>
    <n v="57.73"/>
  </r>
  <r>
    <s v="P_0624R13C"/>
    <s v="June"/>
    <n v="3"/>
    <x v="34"/>
    <n v="69.41"/>
    <n v="69.001000000000005"/>
    <n v="63.4"/>
  </r>
  <r>
    <s v="P_0624R13C"/>
    <s v="June"/>
    <n v="3"/>
    <x v="35"/>
    <n v="67.099999999999994"/>
    <n v="28.706"/>
    <n v="39.96"/>
  </r>
  <r>
    <s v="P_0624R13C"/>
    <s v="June"/>
    <n v="3"/>
    <x v="36"/>
    <n v="62.08"/>
    <n v="9.1620000000000008"/>
    <n v="66.959999999999994"/>
  </r>
  <r>
    <s v="P_0624R13C"/>
    <s v="June"/>
    <n v="3"/>
    <x v="37"/>
    <n v="55.82"/>
    <n v="25.757000000000001"/>
    <n v="66.599999999999994"/>
  </r>
  <r>
    <s v="P_0624R13C"/>
    <s v="June"/>
    <n v="3"/>
    <x v="38"/>
    <n v="38.97"/>
    <n v="66.337000000000003"/>
    <n v="41.46"/>
  </r>
  <r>
    <s v="P_0624R13C"/>
    <s v="June"/>
    <n v="3"/>
    <x v="39"/>
    <n v="65.41"/>
    <n v="52.387999999999998"/>
    <n v="65.84"/>
  </r>
  <r>
    <s v="N_0824R13C"/>
    <s v="August"/>
    <n v="3"/>
    <x v="32"/>
    <n v="19.403400000000001"/>
    <n v="100"/>
    <n v="94.64"/>
  </r>
  <r>
    <s v="N_0824R13C"/>
    <s v="August"/>
    <n v="3"/>
    <x v="26"/>
    <n v="27.109400000000001"/>
    <n v="90.78"/>
    <n v="68.86"/>
  </r>
  <r>
    <s v="N_0824R13C"/>
    <s v="August"/>
    <n v="3"/>
    <x v="40"/>
    <n v="0.81710000000000005"/>
    <n v="88.18"/>
    <n v="90.65"/>
  </r>
  <r>
    <s v="N_0824R13C"/>
    <s v="August"/>
    <n v="3"/>
    <x v="28"/>
    <n v="13.454800000000001"/>
    <n v="85.87"/>
    <n v="65.27"/>
  </r>
  <r>
    <s v="N_0824R13C"/>
    <s v="August"/>
    <n v="3"/>
    <x v="41"/>
    <n v="36.523400000000002"/>
    <n v="39.64"/>
    <n v="76.819999999999993"/>
  </r>
  <r>
    <s v="N_0824R13C"/>
    <s v="August"/>
    <n v="3"/>
    <x v="24"/>
    <n v="17.911999999999999"/>
    <n v="76.62"/>
    <n v="57.03"/>
  </r>
  <r>
    <s v="N_0824R13C"/>
    <s v="August"/>
    <n v="3"/>
    <x v="10"/>
    <n v="60.608899999999998"/>
    <n v="70.77"/>
    <n v="16.28"/>
  </r>
  <r>
    <s v="N_0824R13C"/>
    <s v="August"/>
    <n v="3"/>
    <x v="42"/>
    <n v="27.1738"/>
    <n v="54.42"/>
    <n v="69.56"/>
  </r>
  <r>
    <s v="N_0824R13C"/>
    <s v="August"/>
    <n v="3"/>
    <x v="43"/>
    <n v="19.8324"/>
    <n v="41.23"/>
    <n v="69.540000000000006"/>
  </r>
  <r>
    <s v="N_0824R13C"/>
    <s v="August"/>
    <n v="3"/>
    <x v="15"/>
    <n v="40.452399999999997"/>
    <n v="69.459999999999994"/>
    <n v="26"/>
  </r>
  <r>
    <s v="N_0824R13C"/>
    <s v="August"/>
    <n v="3"/>
    <x v="44"/>
    <n v="20.065300000000001"/>
    <n v="52.81"/>
    <n v="68.569999999999993"/>
  </r>
  <r>
    <s v="N_0824R13C"/>
    <s v="August"/>
    <n v="3"/>
    <x v="45"/>
    <n v="35.540399999999998"/>
    <n v="67.09"/>
    <n v="12.47"/>
  </r>
  <r>
    <s v="N_0824R13C"/>
    <s v="August"/>
    <n v="3"/>
    <x v="7"/>
    <n v="43.359900000000003"/>
    <n v="66.959999999999994"/>
    <n v="29.82"/>
  </r>
  <r>
    <s v="N_0824R13C"/>
    <s v="August"/>
    <n v="3"/>
    <x v="46"/>
    <n v="56.410200000000003"/>
    <n v="66.42"/>
    <n v="24.67"/>
  </r>
  <r>
    <s v="N_0824R13C"/>
    <s v="August"/>
    <n v="3"/>
    <x v="47"/>
    <n v="65.8078"/>
    <n v="34.26"/>
    <n v="55.07"/>
  </r>
  <r>
    <s v="N_0824R13C"/>
    <s v="August"/>
    <n v="3"/>
    <x v="48"/>
    <n v="29.041399999999999"/>
    <n v="65.75"/>
    <n v="37.369999999999997"/>
  </r>
  <r>
    <s v="N_0824R13C"/>
    <s v="August"/>
    <n v="3"/>
    <x v="49"/>
    <n v="24.7803"/>
    <n v="65.709999999999994"/>
    <n v="25.3"/>
  </r>
  <r>
    <s v="N_0824R13C"/>
    <s v="August"/>
    <n v="3"/>
    <x v="50"/>
    <n v="57.619599999999998"/>
    <n v="63.67"/>
    <n v="15.98"/>
  </r>
  <r>
    <s v="N_0824R13C"/>
    <s v="August"/>
    <n v="3"/>
    <x v="51"/>
    <n v="48.9116"/>
    <n v="63.44"/>
    <n v="17.93"/>
  </r>
  <r>
    <s v="N_0824R13C"/>
    <s v="August"/>
    <n v="3"/>
    <x v="52"/>
    <n v="15.851900000000001"/>
    <n v="47.29"/>
    <n v="63.06"/>
  </r>
  <r>
    <s v="P_0824R13C"/>
    <s v="August"/>
    <n v="3"/>
    <x v="53"/>
    <n v="100"/>
    <n v="72.58"/>
    <n v="84.67"/>
  </r>
  <r>
    <s v="P_0824R13C"/>
    <s v="August"/>
    <n v="3"/>
    <x v="23"/>
    <n v="90.88"/>
    <n v="57.15"/>
    <n v="86.77"/>
  </r>
  <r>
    <s v="P_0824R13C"/>
    <s v="August"/>
    <n v="3"/>
    <x v="54"/>
    <n v="37.46"/>
    <n v="90.56"/>
    <n v="58.23"/>
  </r>
  <r>
    <s v="P_0824R13C"/>
    <s v="August"/>
    <n v="3"/>
    <x v="33"/>
    <n v="90.04"/>
    <n v="52.41"/>
    <n v="67.75"/>
  </r>
  <r>
    <s v="P_0824R13C"/>
    <s v="August"/>
    <n v="3"/>
    <x v="25"/>
    <n v="70.650000000000006"/>
    <n v="25.09"/>
    <n v="86.8"/>
  </r>
  <r>
    <s v="P_0824R13C"/>
    <s v="August"/>
    <n v="3"/>
    <x v="22"/>
    <n v="85.05"/>
    <n v="29.24"/>
    <n v="80.319999999999993"/>
  </r>
  <r>
    <s v="P_0824R13C"/>
    <s v="August"/>
    <n v="3"/>
    <x v="29"/>
    <n v="76.17"/>
    <n v="35.049999999999997"/>
    <n v="84.49"/>
  </r>
  <r>
    <s v="P_0824R13C"/>
    <s v="August"/>
    <n v="3"/>
    <x v="55"/>
    <n v="82.61"/>
    <n v="69.34"/>
    <n v="75.09"/>
  </r>
  <r>
    <s v="P_0824R13C"/>
    <s v="August"/>
    <n v="3"/>
    <x v="30"/>
    <n v="31.4"/>
    <n v="41.06"/>
    <n v="82.53"/>
  </r>
  <r>
    <s v="P_0824R13C"/>
    <s v="August"/>
    <n v="3"/>
    <x v="4"/>
    <n v="82.04"/>
    <n v="59.95"/>
    <n v="59.21"/>
  </r>
  <r>
    <s v="P_0824R13C"/>
    <s v="August"/>
    <n v="3"/>
    <x v="56"/>
    <n v="81.03"/>
    <n v="36.229999999999997"/>
    <n v="76.790000000000006"/>
  </r>
  <r>
    <s v="P_0824R13C"/>
    <s v="August"/>
    <n v="3"/>
    <x v="20"/>
    <n v="50.39"/>
    <n v="49.25"/>
    <n v="80.8"/>
  </r>
  <r>
    <s v="P_0824R13C"/>
    <s v="August"/>
    <n v="3"/>
    <x v="57"/>
    <n v="79.819999999999993"/>
    <n v="41.35"/>
    <n v="24.23"/>
  </r>
  <r>
    <s v="P_0824R13C"/>
    <s v="August"/>
    <n v="3"/>
    <x v="58"/>
    <n v="78.95"/>
    <n v="25.98"/>
    <n v="55.88"/>
  </r>
  <r>
    <s v="P_0824R13C"/>
    <s v="August"/>
    <n v="3"/>
    <x v="59"/>
    <n v="78.489999999999995"/>
    <n v="62.19"/>
    <n v="33.78"/>
  </r>
  <r>
    <s v="P_0824R13C"/>
    <s v="August"/>
    <n v="3"/>
    <x v="60"/>
    <n v="74.31"/>
    <n v="72.36"/>
    <n v="34.5"/>
  </r>
  <r>
    <s v="P_0824R13C"/>
    <s v="August"/>
    <n v="3"/>
    <x v="61"/>
    <n v="61.62"/>
    <n v="36.97"/>
    <n v="74.099999999999994"/>
  </r>
  <r>
    <s v="P_0824R13C"/>
    <s v="August"/>
    <n v="3"/>
    <x v="62"/>
    <n v="52.38"/>
    <n v="33.9"/>
    <n v="74.010000000000005"/>
  </r>
  <r>
    <s v="P_0824R13C"/>
    <s v="August"/>
    <n v="3"/>
    <x v="18"/>
    <n v="63.84"/>
    <n v="28.38"/>
    <n v="73.75"/>
  </r>
  <r>
    <s v="P_0824R13C"/>
    <s v="August"/>
    <n v="3"/>
    <x v="63"/>
    <n v="73.650000000000006"/>
    <n v="50.89"/>
    <n v="53.5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N_0624R22C"/>
    <s v="June"/>
    <n v="2"/>
    <x v="0"/>
    <m/>
    <m/>
    <n v="100"/>
  </r>
  <r>
    <s v="N_0624R22C"/>
    <s v="June"/>
    <n v="2"/>
    <x v="1"/>
    <m/>
    <m/>
    <n v="91.7"/>
  </r>
  <r>
    <s v="N_0624R22C"/>
    <s v="June"/>
    <n v="2"/>
    <x v="2"/>
    <m/>
    <m/>
    <n v="84.95"/>
  </r>
  <r>
    <s v="N_0624R22C"/>
    <s v="June"/>
    <n v="2"/>
    <x v="3"/>
    <m/>
    <m/>
    <n v="80.34"/>
  </r>
  <r>
    <s v="N_0624R22C"/>
    <s v="June"/>
    <n v="2"/>
    <x v="4"/>
    <m/>
    <m/>
    <n v="76.87"/>
  </r>
  <r>
    <s v="N_0624R22C"/>
    <s v="June"/>
    <n v="2"/>
    <x v="5"/>
    <m/>
    <m/>
    <n v="76.61"/>
  </r>
  <r>
    <s v="N_0624R22C"/>
    <s v="June"/>
    <n v="2"/>
    <x v="6"/>
    <m/>
    <m/>
    <n v="72.16"/>
  </r>
  <r>
    <s v="N_0624R22C"/>
    <s v="June"/>
    <n v="2"/>
    <x v="7"/>
    <m/>
    <m/>
    <n v="72.08"/>
  </r>
  <r>
    <s v="N_0624R22C"/>
    <s v="June"/>
    <n v="2"/>
    <x v="8"/>
    <m/>
    <m/>
    <n v="70.180000000000007"/>
  </r>
  <r>
    <s v="N_0624R22C"/>
    <s v="June"/>
    <n v="2"/>
    <x v="9"/>
    <m/>
    <m/>
    <n v="69.739999999999995"/>
  </r>
  <r>
    <s v="N_0624R22C"/>
    <s v="June"/>
    <n v="2"/>
    <x v="10"/>
    <m/>
    <m/>
    <n v="69.569999999999993"/>
  </r>
  <r>
    <s v="N_0624R22C"/>
    <s v="June"/>
    <n v="2"/>
    <x v="11"/>
    <m/>
    <m/>
    <n v="69.400000000000006"/>
  </r>
  <r>
    <s v="N_0624R22C"/>
    <s v="June"/>
    <n v="2"/>
    <x v="12"/>
    <m/>
    <m/>
    <n v="68.39"/>
  </r>
  <r>
    <s v="N_0624R22C"/>
    <s v="June"/>
    <n v="2"/>
    <x v="13"/>
    <m/>
    <m/>
    <n v="67.989999999999995"/>
  </r>
  <r>
    <s v="N_0624R22C"/>
    <s v="June"/>
    <n v="2"/>
    <x v="14"/>
    <m/>
    <m/>
    <n v="67.86"/>
  </r>
  <r>
    <s v="N_0624R22C"/>
    <s v="June"/>
    <n v="2"/>
    <x v="15"/>
    <m/>
    <m/>
    <n v="67.17"/>
  </r>
  <r>
    <s v="N_0624R22C"/>
    <s v="June"/>
    <n v="2"/>
    <x v="16"/>
    <m/>
    <m/>
    <n v="65.75"/>
  </r>
  <r>
    <s v="N_0624R22C"/>
    <s v="June"/>
    <n v="2"/>
    <x v="17"/>
    <m/>
    <m/>
    <n v="63.45"/>
  </r>
  <r>
    <s v="N_0624R22C"/>
    <s v="June"/>
    <n v="2"/>
    <x v="18"/>
    <m/>
    <m/>
    <n v="63.34"/>
  </r>
  <r>
    <s v="N_0624R22C"/>
    <s v="June"/>
    <n v="2"/>
    <x v="19"/>
    <m/>
    <m/>
    <n v="63.18"/>
  </r>
  <r>
    <s v="P_0624R22C"/>
    <s v="June"/>
    <n v="2"/>
    <x v="3"/>
    <m/>
    <m/>
    <n v="100"/>
  </r>
  <r>
    <s v="P_0624R22C"/>
    <s v="June"/>
    <n v="2"/>
    <x v="20"/>
    <m/>
    <m/>
    <n v="96.51"/>
  </r>
  <r>
    <s v="P_0624R22C"/>
    <s v="June"/>
    <n v="2"/>
    <x v="0"/>
    <m/>
    <m/>
    <n v="90.85"/>
  </r>
  <r>
    <s v="P_0624R22C"/>
    <s v="June"/>
    <n v="2"/>
    <x v="8"/>
    <m/>
    <m/>
    <n v="89.63"/>
  </r>
  <r>
    <s v="P_0624R22C"/>
    <s v="June"/>
    <n v="2"/>
    <x v="21"/>
    <m/>
    <m/>
    <n v="84.83"/>
  </r>
  <r>
    <s v="P_0624R22C"/>
    <s v="June"/>
    <n v="2"/>
    <x v="22"/>
    <m/>
    <m/>
    <n v="83.6"/>
  </r>
  <r>
    <s v="P_0624R22C"/>
    <s v="June"/>
    <n v="2"/>
    <x v="23"/>
    <m/>
    <m/>
    <n v="80.900000000000006"/>
  </r>
  <r>
    <s v="P_0624R22C"/>
    <s v="June"/>
    <n v="2"/>
    <x v="24"/>
    <m/>
    <m/>
    <n v="77.709999999999994"/>
  </r>
  <r>
    <s v="P_0624R22C"/>
    <s v="June"/>
    <n v="2"/>
    <x v="25"/>
    <m/>
    <m/>
    <n v="77.58"/>
  </r>
  <r>
    <s v="P_0624R22C"/>
    <s v="June"/>
    <n v="2"/>
    <x v="26"/>
    <m/>
    <m/>
    <n v="73.36"/>
  </r>
  <r>
    <s v="P_0624R22C"/>
    <s v="June"/>
    <n v="2"/>
    <x v="27"/>
    <m/>
    <m/>
    <n v="72.010000000000005"/>
  </r>
  <r>
    <s v="P_0624R22C"/>
    <s v="June"/>
    <n v="2"/>
    <x v="28"/>
    <m/>
    <m/>
    <n v="71.72"/>
  </r>
  <r>
    <s v="P_0624R22C"/>
    <s v="June"/>
    <n v="2"/>
    <x v="2"/>
    <m/>
    <m/>
    <n v="69.16"/>
  </r>
  <r>
    <s v="P_0624R22C"/>
    <s v="June"/>
    <n v="2"/>
    <x v="4"/>
    <m/>
    <m/>
    <n v="98.98"/>
  </r>
  <r>
    <s v="P_0624R22C"/>
    <s v="June"/>
    <n v="2"/>
    <x v="29"/>
    <m/>
    <m/>
    <n v="68.14"/>
  </r>
  <r>
    <s v="P_0624R22C"/>
    <s v="June"/>
    <n v="2"/>
    <x v="30"/>
    <m/>
    <m/>
    <n v="68.11"/>
  </r>
  <r>
    <s v="P_0624R22C"/>
    <s v="June"/>
    <n v="2"/>
    <x v="31"/>
    <m/>
    <m/>
    <n v="67.02"/>
  </r>
  <r>
    <s v="P_0624R22C"/>
    <s v="June"/>
    <n v="2"/>
    <x v="32"/>
    <m/>
    <m/>
    <n v="66.83"/>
  </r>
  <r>
    <s v="P_0624R22C"/>
    <s v="June"/>
    <n v="2"/>
    <x v="33"/>
    <m/>
    <m/>
    <n v="66.2"/>
  </r>
  <r>
    <s v="P_0624R22C"/>
    <s v="June"/>
    <n v="2"/>
    <x v="34"/>
    <m/>
    <m/>
    <n v="63.67"/>
  </r>
  <r>
    <s v="N_0824R22C"/>
    <s v="August"/>
    <n v="2"/>
    <x v="35"/>
    <m/>
    <m/>
    <n v="100"/>
  </r>
  <r>
    <s v="N_0824R22C"/>
    <s v="August"/>
    <n v="2"/>
    <x v="36"/>
    <m/>
    <m/>
    <n v="97.8"/>
  </r>
  <r>
    <s v="N_0824R22C"/>
    <s v="August"/>
    <n v="2"/>
    <x v="14"/>
    <m/>
    <m/>
    <n v="92.57"/>
  </r>
  <r>
    <s v="N_0824R22C"/>
    <s v="August"/>
    <n v="2"/>
    <x v="37"/>
    <m/>
    <m/>
    <n v="92.07"/>
  </r>
  <r>
    <s v="N_0824R22C"/>
    <s v="August"/>
    <n v="2"/>
    <x v="38"/>
    <m/>
    <m/>
    <n v="89.68"/>
  </r>
  <r>
    <s v="N_0824R22C"/>
    <s v="August"/>
    <n v="2"/>
    <x v="39"/>
    <m/>
    <m/>
    <n v="83.6"/>
  </r>
  <r>
    <s v="N_0824R22C"/>
    <s v="August"/>
    <n v="2"/>
    <x v="40"/>
    <m/>
    <m/>
    <n v="80.97"/>
  </r>
  <r>
    <s v="N_0824R22C"/>
    <s v="August"/>
    <n v="2"/>
    <x v="41"/>
    <m/>
    <m/>
    <n v="79.739999999999995"/>
  </r>
  <r>
    <s v="N_0824R22C"/>
    <s v="August"/>
    <n v="2"/>
    <x v="42"/>
    <m/>
    <m/>
    <n v="79.489999999999995"/>
  </r>
  <r>
    <s v="N_0824R22C"/>
    <s v="August"/>
    <n v="2"/>
    <x v="43"/>
    <m/>
    <m/>
    <n v="77.930000000000007"/>
  </r>
  <r>
    <s v="N_0824R22C"/>
    <s v="August"/>
    <n v="2"/>
    <x v="44"/>
    <m/>
    <m/>
    <n v="77.47"/>
  </r>
  <r>
    <s v="N_0824R22C"/>
    <s v="August"/>
    <n v="2"/>
    <x v="45"/>
    <m/>
    <m/>
    <n v="76.27"/>
  </r>
  <r>
    <s v="N_0824R22C"/>
    <s v="August"/>
    <n v="2"/>
    <x v="9"/>
    <m/>
    <m/>
    <n v="72.88"/>
  </r>
  <r>
    <s v="N_0824R22C"/>
    <s v="August"/>
    <n v="2"/>
    <x v="46"/>
    <m/>
    <m/>
    <n v="70.41"/>
  </r>
  <r>
    <s v="N_0824R22C"/>
    <s v="August"/>
    <n v="2"/>
    <x v="47"/>
    <m/>
    <m/>
    <n v="69.489999999999995"/>
  </r>
  <r>
    <s v="N_0824R22C"/>
    <s v="August"/>
    <n v="2"/>
    <x v="48"/>
    <m/>
    <m/>
    <n v="67.31"/>
  </r>
  <r>
    <s v="N_0824R22C"/>
    <s v="August"/>
    <n v="2"/>
    <x v="17"/>
    <m/>
    <m/>
    <n v="66.83"/>
  </r>
  <r>
    <s v="N_0824R22C"/>
    <s v="August"/>
    <n v="2"/>
    <x v="49"/>
    <m/>
    <m/>
    <n v="65.12"/>
  </r>
  <r>
    <s v="N_0824R22C"/>
    <s v="August"/>
    <n v="2"/>
    <x v="5"/>
    <m/>
    <m/>
    <n v="64.290000000000006"/>
  </r>
  <r>
    <s v="N_0824R22C"/>
    <s v="August"/>
    <n v="2"/>
    <x v="50"/>
    <m/>
    <m/>
    <n v="64.11"/>
  </r>
  <r>
    <s v="P_0824R22C"/>
    <s v="August"/>
    <n v="2"/>
    <x v="18"/>
    <m/>
    <m/>
    <n v="100"/>
  </r>
  <r>
    <s v="P_0824R22C"/>
    <s v="August"/>
    <n v="2"/>
    <x v="11"/>
    <m/>
    <m/>
    <n v="92.59"/>
  </r>
  <r>
    <s v="P_0824R22C"/>
    <s v="August"/>
    <n v="2"/>
    <x v="3"/>
    <m/>
    <m/>
    <n v="81.77"/>
  </r>
  <r>
    <s v="P_0824R22C"/>
    <s v="August"/>
    <n v="2"/>
    <x v="51"/>
    <m/>
    <m/>
    <n v="77.77"/>
  </r>
  <r>
    <s v="P_0824R22C"/>
    <s v="August"/>
    <n v="2"/>
    <x v="12"/>
    <m/>
    <m/>
    <n v="71.23"/>
  </r>
  <r>
    <s v="P_0824R22C"/>
    <s v="August"/>
    <n v="2"/>
    <x v="0"/>
    <m/>
    <m/>
    <n v="66.55"/>
  </r>
  <r>
    <s v="P_0824R22C"/>
    <s v="August"/>
    <n v="2"/>
    <x v="52"/>
    <m/>
    <m/>
    <n v="65"/>
  </r>
  <r>
    <s v="P_0824R22C"/>
    <s v="August"/>
    <n v="2"/>
    <x v="22"/>
    <m/>
    <m/>
    <n v="57.83"/>
  </r>
  <r>
    <s v="P_0824R22C"/>
    <s v="August"/>
    <n v="2"/>
    <x v="53"/>
    <m/>
    <m/>
    <n v="54.01"/>
  </r>
  <r>
    <s v="P_0824R22C"/>
    <s v="August"/>
    <n v="2"/>
    <x v="54"/>
    <m/>
    <m/>
    <n v="53.14"/>
  </r>
  <r>
    <s v="P_0824R22C"/>
    <s v="August"/>
    <n v="2"/>
    <x v="23"/>
    <m/>
    <m/>
    <n v="51.96"/>
  </r>
  <r>
    <s v="P_0824R22C"/>
    <s v="August"/>
    <n v="2"/>
    <x v="20"/>
    <m/>
    <m/>
    <n v="51.58"/>
  </r>
  <r>
    <s v="P_0824R22C"/>
    <s v="August"/>
    <n v="2"/>
    <x v="55"/>
    <m/>
    <m/>
    <n v="51.39"/>
  </r>
  <r>
    <s v="P_0824R22C"/>
    <s v="August"/>
    <n v="2"/>
    <x v="56"/>
    <m/>
    <m/>
    <n v="51.3"/>
  </r>
  <r>
    <s v="P_0824R22C"/>
    <s v="August"/>
    <n v="2"/>
    <x v="57"/>
    <m/>
    <m/>
    <n v="50.88"/>
  </r>
  <r>
    <s v="P_0824R22C"/>
    <s v="August"/>
    <n v="2"/>
    <x v="58"/>
    <m/>
    <m/>
    <n v="50.85"/>
  </r>
  <r>
    <s v="P_0824R22C"/>
    <s v="August"/>
    <n v="2"/>
    <x v="59"/>
    <m/>
    <m/>
    <n v="49.62"/>
  </r>
  <r>
    <s v="P_0824R22C"/>
    <s v="August"/>
    <n v="2"/>
    <x v="60"/>
    <m/>
    <m/>
    <n v="49.58"/>
  </r>
  <r>
    <s v="P_0824R22C"/>
    <s v="August"/>
    <n v="2"/>
    <x v="61"/>
    <m/>
    <m/>
    <n v="48.84"/>
  </r>
  <r>
    <s v="P_0824R22C"/>
    <s v="August"/>
    <n v="2"/>
    <x v="8"/>
    <m/>
    <m/>
    <n v="48.4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N_0624R13C"/>
    <x v="0"/>
    <x v="0"/>
  </r>
  <r>
    <s v="N_0624R13C"/>
    <x v="1"/>
    <x v="0"/>
  </r>
  <r>
    <s v="N_0624R13C"/>
    <x v="2"/>
    <x v="0"/>
  </r>
  <r>
    <s v="N_0624R13C"/>
    <x v="3"/>
    <x v="0"/>
  </r>
  <r>
    <s v="N_0624R13C"/>
    <x v="4"/>
    <x v="0"/>
  </r>
  <r>
    <s v="N_0624R13C"/>
    <x v="5"/>
    <x v="0"/>
  </r>
  <r>
    <s v="N_0624R13C"/>
    <x v="6"/>
    <x v="0"/>
  </r>
  <r>
    <s v="N_0624R13C"/>
    <x v="7"/>
    <x v="0"/>
  </r>
  <r>
    <s v="N_0624R13C"/>
    <x v="8"/>
    <x v="0"/>
  </r>
  <r>
    <s v="N_0624R13C"/>
    <x v="9"/>
    <x v="0"/>
  </r>
  <r>
    <s v="N_0624R13C"/>
    <x v="10"/>
    <x v="0"/>
  </r>
  <r>
    <s v="N_0624R13C"/>
    <x v="11"/>
    <x v="0"/>
  </r>
  <r>
    <s v="N_0624R13C"/>
    <x v="12"/>
    <x v="0"/>
  </r>
  <r>
    <s v="N_0624R13C"/>
    <x v="13"/>
    <x v="0"/>
  </r>
  <r>
    <s v="N_0624R13C"/>
    <x v="14"/>
    <x v="0"/>
  </r>
  <r>
    <s v="N_0624R13C"/>
    <x v="15"/>
    <x v="0"/>
  </r>
  <r>
    <s v="N_0624R13C"/>
    <x v="16"/>
    <x v="0"/>
  </r>
  <r>
    <s v="N_0624R13C"/>
    <x v="17"/>
    <x v="0"/>
  </r>
  <r>
    <s v="N_0624R13C"/>
    <x v="18"/>
    <x v="0"/>
  </r>
  <r>
    <s v="N_0624R13C"/>
    <x v="19"/>
    <x v="0"/>
  </r>
  <r>
    <s v="N_0624R22C"/>
    <x v="20"/>
    <x v="0"/>
  </r>
  <r>
    <s v="N_0624R22C"/>
    <x v="21"/>
    <x v="0"/>
  </r>
  <r>
    <s v="N_0624R22C"/>
    <x v="17"/>
    <x v="0"/>
  </r>
  <r>
    <s v="N_0624R22C"/>
    <x v="22"/>
    <x v="0"/>
  </r>
  <r>
    <s v="N_0624R22C"/>
    <x v="23"/>
    <x v="0"/>
  </r>
  <r>
    <s v="N_0624R22C"/>
    <x v="24"/>
    <x v="0"/>
  </r>
  <r>
    <s v="N_0624R22C"/>
    <x v="8"/>
    <x v="0"/>
  </r>
  <r>
    <s v="N_0624R22C"/>
    <x v="25"/>
    <x v="0"/>
  </r>
  <r>
    <s v="N_0624R22C"/>
    <x v="26"/>
    <x v="0"/>
  </r>
  <r>
    <s v="N_0624R22C"/>
    <x v="27"/>
    <x v="0"/>
  </r>
  <r>
    <s v="N_0624R22C"/>
    <x v="28"/>
    <x v="0"/>
  </r>
  <r>
    <s v="N_0624R22C"/>
    <x v="29"/>
    <x v="0"/>
  </r>
  <r>
    <s v="N_0624R22C"/>
    <x v="4"/>
    <x v="0"/>
  </r>
  <r>
    <s v="N_0624R22C"/>
    <x v="30"/>
    <x v="0"/>
  </r>
  <r>
    <s v="N_0624R22C"/>
    <x v="31"/>
    <x v="0"/>
  </r>
  <r>
    <s v="N_0624R22C"/>
    <x v="32"/>
    <x v="0"/>
  </r>
  <r>
    <s v="N_0624R22C"/>
    <x v="33"/>
    <x v="0"/>
  </r>
  <r>
    <s v="N_0624R22C"/>
    <x v="34"/>
    <x v="0"/>
  </r>
  <r>
    <s v="N_0624R22C"/>
    <x v="35"/>
    <x v="0"/>
  </r>
  <r>
    <s v="N_0624R22C"/>
    <x v="15"/>
    <x v="0"/>
  </r>
  <r>
    <s v="P_0624R13C"/>
    <x v="36"/>
    <x v="0"/>
  </r>
  <r>
    <s v="P_0624R13C"/>
    <x v="37"/>
    <x v="0"/>
  </r>
  <r>
    <s v="P_0624R13C"/>
    <x v="20"/>
    <x v="0"/>
  </r>
  <r>
    <s v="P_0624R13C"/>
    <x v="22"/>
    <x v="0"/>
  </r>
  <r>
    <s v="P_0624R13C"/>
    <x v="38"/>
    <x v="0"/>
  </r>
  <r>
    <s v="P_0624R13C"/>
    <x v="26"/>
    <x v="0"/>
  </r>
  <r>
    <s v="P_0624R13C"/>
    <x v="39"/>
    <x v="0"/>
  </r>
  <r>
    <s v="P_0624R13C"/>
    <x v="40"/>
    <x v="0"/>
  </r>
  <r>
    <s v="P_0624R13C"/>
    <x v="41"/>
    <x v="0"/>
  </r>
  <r>
    <s v="P_0624R13C"/>
    <x v="42"/>
    <x v="0"/>
  </r>
  <r>
    <s v="P_0624R13C"/>
    <x v="43"/>
    <x v="0"/>
  </r>
  <r>
    <s v="P_0624R13C"/>
    <x v="44"/>
    <x v="0"/>
  </r>
  <r>
    <s v="P_0624R13C"/>
    <x v="45"/>
    <x v="0"/>
  </r>
  <r>
    <s v="P_0624R13C"/>
    <x v="35"/>
    <x v="0"/>
  </r>
  <r>
    <s v="P_0624R13C"/>
    <x v="46"/>
    <x v="0"/>
  </r>
  <r>
    <s v="P_0624R13C"/>
    <x v="47"/>
    <x v="0"/>
  </r>
  <r>
    <s v="P_0624R13C"/>
    <x v="48"/>
    <x v="0"/>
  </r>
  <r>
    <s v="P_0624R13C"/>
    <x v="49"/>
    <x v="0"/>
  </r>
  <r>
    <s v="P_0624R13C"/>
    <x v="50"/>
    <x v="0"/>
  </r>
  <r>
    <s v="P_0624R13C"/>
    <x v="51"/>
    <x v="0"/>
  </r>
  <r>
    <s v="P_0624R22C"/>
    <x v="22"/>
    <x v="0"/>
  </r>
  <r>
    <s v="P_0624R22C"/>
    <x v="42"/>
    <x v="0"/>
  </r>
  <r>
    <s v="P_0624R22C"/>
    <x v="20"/>
    <x v="0"/>
  </r>
  <r>
    <s v="P_0624R22C"/>
    <x v="26"/>
    <x v="0"/>
  </r>
  <r>
    <s v="P_0624R22C"/>
    <x v="37"/>
    <x v="0"/>
  </r>
  <r>
    <s v="P_0624R22C"/>
    <x v="51"/>
    <x v="0"/>
  </r>
  <r>
    <s v="P_0624R22C"/>
    <x v="36"/>
    <x v="0"/>
  </r>
  <r>
    <s v="P_0624R22C"/>
    <x v="52"/>
    <x v="0"/>
  </r>
  <r>
    <s v="P_0624R22C"/>
    <x v="53"/>
    <x v="0"/>
  </r>
  <r>
    <s v="P_0624R22C"/>
    <x v="38"/>
    <x v="0"/>
  </r>
  <r>
    <s v="P_0624R22C"/>
    <x v="49"/>
    <x v="0"/>
  </r>
  <r>
    <s v="P_0624R22C"/>
    <x v="54"/>
    <x v="0"/>
  </r>
  <r>
    <s v="P_0624R22C"/>
    <x v="17"/>
    <x v="0"/>
  </r>
  <r>
    <s v="P_0624R22C"/>
    <x v="23"/>
    <x v="0"/>
  </r>
  <r>
    <s v="P_0624R22C"/>
    <x v="55"/>
    <x v="0"/>
  </r>
  <r>
    <s v="P_0624R22C"/>
    <x v="56"/>
    <x v="0"/>
  </r>
  <r>
    <s v="P_0624R22C"/>
    <x v="57"/>
    <x v="0"/>
  </r>
  <r>
    <s v="P_0624R22C"/>
    <x v="58"/>
    <x v="0"/>
  </r>
  <r>
    <s v="P_0624R22C"/>
    <x v="41"/>
    <x v="0"/>
  </r>
  <r>
    <s v="P_0624R22C"/>
    <x v="47"/>
    <x v="0"/>
  </r>
  <r>
    <s v="N_0824R13C"/>
    <x v="45"/>
    <x v="0"/>
  </r>
  <r>
    <s v="N_0824R13C"/>
    <x v="39"/>
    <x v="0"/>
  </r>
  <r>
    <s v="N_0824R13C"/>
    <x v="59"/>
    <x v="0"/>
  </r>
  <r>
    <s v="N_0824R13C"/>
    <x v="41"/>
    <x v="0"/>
  </r>
  <r>
    <s v="N_0824R13C"/>
    <x v="60"/>
    <x v="0"/>
  </r>
  <r>
    <s v="N_0824R13C"/>
    <x v="38"/>
    <x v="0"/>
  </r>
  <r>
    <s v="N_0824R13C"/>
    <x v="10"/>
    <x v="0"/>
  </r>
  <r>
    <s v="N_0824R13C"/>
    <x v="61"/>
    <x v="0"/>
  </r>
  <r>
    <s v="N_0824R13C"/>
    <x v="62"/>
    <x v="0"/>
  </r>
  <r>
    <s v="N_0824R13C"/>
    <x v="15"/>
    <x v="0"/>
  </r>
  <r>
    <s v="N_0824R13C"/>
    <x v="63"/>
    <x v="0"/>
  </r>
  <r>
    <s v="N_0824R13C"/>
    <x v="64"/>
    <x v="0"/>
  </r>
  <r>
    <s v="N_0824R13C"/>
    <x v="7"/>
    <x v="0"/>
  </r>
  <r>
    <s v="N_0824R13C"/>
    <x v="65"/>
    <x v="0"/>
  </r>
  <r>
    <s v="N_0824R13C"/>
    <x v="66"/>
    <x v="0"/>
  </r>
  <r>
    <s v="N_0824R13C"/>
    <x v="67"/>
    <x v="0"/>
  </r>
  <r>
    <s v="N_0824R13C"/>
    <x v="68"/>
    <x v="0"/>
  </r>
  <r>
    <s v="N_0824R13C"/>
    <x v="69"/>
    <x v="0"/>
  </r>
  <r>
    <s v="N_0824R13C"/>
    <x v="70"/>
    <x v="0"/>
  </r>
  <r>
    <s v="N_0824R13C"/>
    <x v="71"/>
    <x v="0"/>
  </r>
  <r>
    <s v="N_0824R22C"/>
    <x v="60"/>
    <x v="0"/>
  </r>
  <r>
    <s v="N_0824R22C"/>
    <x v="45"/>
    <x v="0"/>
  </r>
  <r>
    <s v="N_0824R22C"/>
    <x v="31"/>
    <x v="0"/>
  </r>
  <r>
    <s v="N_0824R22C"/>
    <x v="72"/>
    <x v="0"/>
  </r>
  <r>
    <s v="N_0824R22C"/>
    <x v="59"/>
    <x v="0"/>
  </r>
  <r>
    <s v="N_0824R22C"/>
    <x v="73"/>
    <x v="0"/>
  </r>
  <r>
    <s v="N_0824R22C"/>
    <x v="39"/>
    <x v="0"/>
  </r>
  <r>
    <s v="N_0824R22C"/>
    <x v="74"/>
    <x v="0"/>
  </r>
  <r>
    <s v="N_0824R22C"/>
    <x v="63"/>
    <x v="0"/>
  </r>
  <r>
    <s v="N_0824R22C"/>
    <x v="48"/>
    <x v="0"/>
  </r>
  <r>
    <s v="N_0824R22C"/>
    <x v="75"/>
    <x v="0"/>
  </r>
  <r>
    <s v="N_0824R22C"/>
    <x v="62"/>
    <x v="0"/>
  </r>
  <r>
    <s v="N_0824R22C"/>
    <x v="27"/>
    <x v="0"/>
  </r>
  <r>
    <s v="N_0824R22C"/>
    <x v="76"/>
    <x v="0"/>
  </r>
  <r>
    <s v="N_0824R22C"/>
    <x v="77"/>
    <x v="0"/>
  </r>
  <r>
    <s v="N_0824R22C"/>
    <x v="78"/>
    <x v="0"/>
  </r>
  <r>
    <s v="N_0824R22C"/>
    <x v="34"/>
    <x v="0"/>
  </r>
  <r>
    <s v="N_0824R22C"/>
    <x v="79"/>
    <x v="0"/>
  </r>
  <r>
    <s v="N_0824R22C"/>
    <x v="24"/>
    <x v="0"/>
  </r>
  <r>
    <s v="N_0824R22C"/>
    <x v="80"/>
    <x v="0"/>
  </r>
  <r>
    <s v="P_0824R13C"/>
    <x v="29"/>
    <x v="0"/>
  </r>
  <r>
    <s v="P_0824R13C"/>
    <x v="22"/>
    <x v="0"/>
  </r>
  <r>
    <s v="P_0824R13C"/>
    <x v="81"/>
    <x v="0"/>
  </r>
  <r>
    <s v="P_0824R13C"/>
    <x v="35"/>
    <x v="0"/>
  </r>
  <r>
    <s v="P_0824R13C"/>
    <x v="26"/>
    <x v="0"/>
  </r>
  <r>
    <s v="P_0824R13C"/>
    <x v="20"/>
    <x v="0"/>
  </r>
  <r>
    <s v="P_0824R13C"/>
    <x v="42"/>
    <x v="0"/>
  </r>
  <r>
    <s v="P_0824R13C"/>
    <x v="82"/>
    <x v="0"/>
  </r>
  <r>
    <s v="P_0824R13C"/>
    <x v="43"/>
    <x v="0"/>
  </r>
  <r>
    <s v="P_0824R13C"/>
    <x v="4"/>
    <x v="0"/>
  </r>
  <r>
    <s v="P_0824R13C"/>
    <x v="27"/>
    <x v="0"/>
  </r>
  <r>
    <s v="P_0824R13C"/>
    <x v="36"/>
    <x v="0"/>
  </r>
  <r>
    <s v="P_0824R13C"/>
    <x v="83"/>
    <x v="0"/>
  </r>
  <r>
    <s v="P_0824R13C"/>
    <x v="78"/>
    <x v="0"/>
  </r>
  <r>
    <s v="P_0824R13C"/>
    <x v="84"/>
    <x v="0"/>
  </r>
  <r>
    <s v="P_0824R13C"/>
    <x v="85"/>
    <x v="0"/>
  </r>
  <r>
    <s v="P_0824R13C"/>
    <x v="86"/>
    <x v="0"/>
  </r>
  <r>
    <s v="P_0824R13C"/>
    <x v="87"/>
    <x v="0"/>
  </r>
  <r>
    <s v="P_0824R13C"/>
    <x v="18"/>
    <x v="0"/>
  </r>
  <r>
    <s v="P_0824R13C"/>
    <x v="88"/>
    <x v="0"/>
  </r>
  <r>
    <s v="P_0824R22C"/>
    <x v="35"/>
    <x v="0"/>
  </r>
  <r>
    <s v="P_0824R22C"/>
    <x v="29"/>
    <x v="0"/>
  </r>
  <r>
    <s v="P_0824R22C"/>
    <x v="22"/>
    <x v="0"/>
  </r>
  <r>
    <s v="P_0824R22C"/>
    <x v="82"/>
    <x v="0"/>
  </r>
  <r>
    <s v="P_0824R22C"/>
    <x v="4"/>
    <x v="0"/>
  </r>
  <r>
    <s v="P_0824R22C"/>
    <x v="20"/>
    <x v="0"/>
  </r>
  <r>
    <s v="P_0824R22C"/>
    <x v="89"/>
    <x v="0"/>
  </r>
  <r>
    <s v="P_0824R22C"/>
    <x v="51"/>
    <x v="0"/>
  </r>
  <r>
    <s v="P_0824R22C"/>
    <x v="90"/>
    <x v="0"/>
  </r>
  <r>
    <s v="P_0824R22C"/>
    <x v="18"/>
    <x v="0"/>
  </r>
  <r>
    <s v="P_0824R22C"/>
    <x v="36"/>
    <x v="0"/>
  </r>
  <r>
    <s v="P_0824R22C"/>
    <x v="42"/>
    <x v="0"/>
  </r>
  <r>
    <s v="P_0824R22C"/>
    <x v="91"/>
    <x v="0"/>
  </r>
  <r>
    <s v="P_0824R22C"/>
    <x v="92"/>
    <x v="0"/>
  </r>
  <r>
    <s v="P_0824R22C"/>
    <x v="93"/>
    <x v="0"/>
  </r>
  <r>
    <s v="P_0824R22C"/>
    <x v="1"/>
    <x v="0"/>
  </r>
  <r>
    <s v="P_0824R22C"/>
    <x v="94"/>
    <x v="0"/>
  </r>
  <r>
    <s v="P_0824R22C"/>
    <x v="95"/>
    <x v="0"/>
  </r>
  <r>
    <s v="P_0824R22C"/>
    <x v="96"/>
    <x v="0"/>
  </r>
  <r>
    <s v="P_0824R22C"/>
    <x v="26"/>
    <x v="0"/>
  </r>
  <r>
    <s v="N_0624R13C"/>
    <x v="59"/>
    <x v="1"/>
  </r>
  <r>
    <s v="N_0624R13C"/>
    <x v="97"/>
    <x v="1"/>
  </r>
  <r>
    <s v="N_0624R13C"/>
    <x v="94"/>
    <x v="1"/>
  </r>
  <r>
    <s v="N_0624R13C"/>
    <x v="27"/>
    <x v="1"/>
  </r>
  <r>
    <s v="N_0624R13C"/>
    <x v="98"/>
    <x v="1"/>
  </r>
  <r>
    <s v="N_0624R13C"/>
    <x v="99"/>
    <x v="1"/>
  </r>
  <r>
    <s v="N_0624R22C"/>
    <x v="22"/>
    <x v="1"/>
  </r>
  <r>
    <s v="N_0624R22C"/>
    <x v="21"/>
    <x v="1"/>
  </r>
  <r>
    <s v="N_0624R22C"/>
    <x v="20"/>
    <x v="1"/>
  </r>
  <r>
    <s v="N_0624R22C"/>
    <x v="35"/>
    <x v="1"/>
  </r>
  <r>
    <s v="N_0624R22C"/>
    <x v="17"/>
    <x v="1"/>
  </r>
  <r>
    <s v="N_0624R22C"/>
    <x v="1"/>
    <x v="1"/>
  </r>
  <r>
    <s v="N_0624R22C"/>
    <x v="42"/>
    <x v="1"/>
  </r>
  <r>
    <s v="N_0624R22C"/>
    <x v="46"/>
    <x v="1"/>
  </r>
  <r>
    <s v="N_0624R22C"/>
    <x v="29"/>
    <x v="1"/>
  </r>
  <r>
    <s v="N_0624R22C"/>
    <x v="4"/>
    <x v="1"/>
  </r>
  <r>
    <s v="N_0624R22C"/>
    <x v="44"/>
    <x v="1"/>
  </r>
  <r>
    <s v="N_0624R22C"/>
    <x v="100"/>
    <x v="1"/>
  </r>
  <r>
    <s v="N_0624R22C"/>
    <x v="56"/>
    <x v="1"/>
  </r>
  <r>
    <s v="N_0624R22C"/>
    <x v="0"/>
    <x v="1"/>
  </r>
  <r>
    <s v="N_0624R22C"/>
    <x v="26"/>
    <x v="1"/>
  </r>
  <r>
    <s v="N_0624R22C"/>
    <x v="23"/>
    <x v="1"/>
  </r>
  <r>
    <s v="N_0624R22C"/>
    <x v="101"/>
    <x v="1"/>
  </r>
  <r>
    <s v="N_0624R22C"/>
    <x v="24"/>
    <x v="1"/>
  </r>
  <r>
    <s v="P_0624R13C"/>
    <x v="36"/>
    <x v="1"/>
  </r>
  <r>
    <s v="P_0624R13C"/>
    <x v="37"/>
    <x v="1"/>
  </r>
  <r>
    <s v="P_0624R13C"/>
    <x v="26"/>
    <x v="1"/>
  </r>
  <r>
    <s v="P_0624R13C"/>
    <x v="38"/>
    <x v="1"/>
  </r>
  <r>
    <s v="P_0624R13C"/>
    <x v="51"/>
    <x v="1"/>
  </r>
  <r>
    <s v="P_0624R13C"/>
    <x v="44"/>
    <x v="1"/>
  </r>
  <r>
    <s v="P_0624R13C"/>
    <x v="20"/>
    <x v="1"/>
  </r>
  <r>
    <s v="P_0624R13C"/>
    <x v="42"/>
    <x v="1"/>
  </r>
  <r>
    <s v="P_0624R13C"/>
    <x v="41"/>
    <x v="1"/>
  </r>
  <r>
    <s v="P_0624R13C"/>
    <x v="46"/>
    <x v="1"/>
  </r>
  <r>
    <s v="P_0624R13C"/>
    <x v="22"/>
    <x v="1"/>
  </r>
  <r>
    <s v="P_0624R13C"/>
    <x v="39"/>
    <x v="1"/>
  </r>
  <r>
    <s v="P_0624R13C"/>
    <x v="71"/>
    <x v="1"/>
  </r>
  <r>
    <s v="P_0624R13C"/>
    <x v="56"/>
    <x v="1"/>
  </r>
  <r>
    <s v="P_0624R13C"/>
    <x v="45"/>
    <x v="1"/>
  </r>
  <r>
    <s v="P_0624R13C"/>
    <x v="54"/>
    <x v="1"/>
  </r>
  <r>
    <s v="P_0624R13C"/>
    <x v="17"/>
    <x v="1"/>
  </r>
  <r>
    <s v="P_0624R13C"/>
    <x v="35"/>
    <x v="1"/>
  </r>
  <r>
    <s v="P_0624R13C"/>
    <x v="102"/>
    <x v="1"/>
  </r>
  <r>
    <s v="P_0624R13C"/>
    <x v="52"/>
    <x v="1"/>
  </r>
  <r>
    <s v="P_0624R13C"/>
    <x v="47"/>
    <x v="1"/>
  </r>
  <r>
    <s v="P_0624R22C"/>
    <x v="36"/>
    <x v="1"/>
  </r>
  <r>
    <s v="P_0624R22C"/>
    <x v="20"/>
    <x v="1"/>
  </r>
  <r>
    <s v="P_0624R22C"/>
    <x v="37"/>
    <x v="1"/>
  </r>
  <r>
    <s v="P_0624R22C"/>
    <x v="26"/>
    <x v="1"/>
  </r>
  <r>
    <s v="P_0624R22C"/>
    <x v="22"/>
    <x v="1"/>
  </r>
  <r>
    <s v="P_0624R22C"/>
    <x v="42"/>
    <x v="1"/>
  </r>
  <r>
    <s v="P_0624R22C"/>
    <x v="51"/>
    <x v="1"/>
  </r>
  <r>
    <s v="P_0624R22C"/>
    <x v="35"/>
    <x v="1"/>
  </r>
  <r>
    <s v="P_0624R22C"/>
    <x v="23"/>
    <x v="1"/>
  </r>
  <r>
    <s v="P_0624R22C"/>
    <x v="54"/>
    <x v="1"/>
  </r>
  <r>
    <s v="P_0624R22C"/>
    <x v="49"/>
    <x v="1"/>
  </r>
  <r>
    <s v="P_0624R22C"/>
    <x v="17"/>
    <x v="1"/>
  </r>
  <r>
    <s v="P_0624R22C"/>
    <x v="40"/>
    <x v="1"/>
  </r>
  <r>
    <s v="P_0624R22C"/>
    <x v="103"/>
    <x v="1"/>
  </r>
  <r>
    <s v="P_0624R22C"/>
    <x v="56"/>
    <x v="1"/>
  </r>
  <r>
    <s v="P_0624R22C"/>
    <x v="53"/>
    <x v="1"/>
  </r>
  <r>
    <s v="P_0624R22C"/>
    <x v="104"/>
    <x v="1"/>
  </r>
  <r>
    <s v="N_0824R13C"/>
    <x v="45"/>
    <x v="1"/>
  </r>
  <r>
    <s v="N_0824R13C"/>
    <x v="59"/>
    <x v="1"/>
  </r>
  <r>
    <s v="N_0824R13C"/>
    <x v="39"/>
    <x v="1"/>
  </r>
  <r>
    <s v="N_0824R13C"/>
    <x v="41"/>
    <x v="1"/>
  </r>
  <r>
    <s v="N_0824R13C"/>
    <x v="10"/>
    <x v="1"/>
  </r>
  <r>
    <s v="N_0824R13C"/>
    <x v="66"/>
    <x v="1"/>
  </r>
  <r>
    <s v="N_0824R22C"/>
    <x v="59"/>
    <x v="1"/>
  </r>
  <r>
    <s v="N_0824R22C"/>
    <x v="45"/>
    <x v="1"/>
  </r>
  <r>
    <s v="N_0824R22C"/>
    <x v="60"/>
    <x v="1"/>
  </r>
  <r>
    <s v="N_0824R22C"/>
    <x v="31"/>
    <x v="1"/>
  </r>
  <r>
    <s v="N_0824R22C"/>
    <x v="72"/>
    <x v="1"/>
  </r>
  <r>
    <s v="N_0824R22C"/>
    <x v="39"/>
    <x v="1"/>
  </r>
  <r>
    <s v="N_0824R22C"/>
    <x v="34"/>
    <x v="1"/>
  </r>
  <r>
    <s v="N_0824R22C"/>
    <x v="62"/>
    <x v="1"/>
  </r>
  <r>
    <s v="P_0824R13C"/>
    <x v="29"/>
    <x v="1"/>
  </r>
  <r>
    <s v="P_0824R13C"/>
    <x v="22"/>
    <x v="1"/>
  </r>
  <r>
    <s v="P_0824R13C"/>
    <x v="35"/>
    <x v="1"/>
  </r>
  <r>
    <s v="P_0824R13C"/>
    <x v="82"/>
    <x v="1"/>
  </r>
  <r>
    <s v="P_0824R13C"/>
    <x v="42"/>
    <x v="1"/>
  </r>
  <r>
    <s v="P_0824R13C"/>
    <x v="20"/>
    <x v="1"/>
  </r>
  <r>
    <s v="P_0824R13C"/>
    <x v="26"/>
    <x v="1"/>
  </r>
  <r>
    <s v="P_0824R13C"/>
    <x v="36"/>
    <x v="1"/>
  </r>
  <r>
    <s v="P_0824R13C"/>
    <x v="27"/>
    <x v="1"/>
  </r>
  <r>
    <s v="P_0824R13C"/>
    <x v="105"/>
    <x v="1"/>
  </r>
  <r>
    <s v="P_0824R13C"/>
    <x v="37"/>
    <x v="1"/>
  </r>
  <r>
    <s v="P_0824R13C"/>
    <x v="4"/>
    <x v="1"/>
  </r>
  <r>
    <s v="P_0824R13C"/>
    <x v="106"/>
    <x v="1"/>
  </r>
  <r>
    <s v="P_0824R13C"/>
    <x v="73"/>
    <x v="1"/>
  </r>
  <r>
    <s v="P_0824R13C"/>
    <x v="84"/>
    <x v="1"/>
  </r>
  <r>
    <s v="P_0824R13C"/>
    <x v="83"/>
    <x v="1"/>
  </r>
  <r>
    <s v="P_0824R13C"/>
    <x v="89"/>
    <x v="1"/>
  </r>
  <r>
    <s v="P_0824R13C"/>
    <x v="75"/>
    <x v="1"/>
  </r>
  <r>
    <s v="P_0824R13C"/>
    <x v="88"/>
    <x v="1"/>
  </r>
  <r>
    <s v="P_0824R13C"/>
    <x v="51"/>
    <x v="1"/>
  </r>
  <r>
    <s v="P_0824R13C"/>
    <x v="78"/>
    <x v="1"/>
  </r>
  <r>
    <s v="P_0824R13C"/>
    <x v="61"/>
    <x v="1"/>
  </r>
  <r>
    <s v="P_0824R13C"/>
    <x v="81"/>
    <x v="1"/>
  </r>
  <r>
    <s v="P_0824R13C"/>
    <x v="76"/>
    <x v="1"/>
  </r>
  <r>
    <s v="P_0824R13C"/>
    <x v="107"/>
    <x v="1"/>
  </r>
  <r>
    <s v="P_0824R13C"/>
    <x v="1"/>
    <x v="1"/>
  </r>
  <r>
    <s v="P_0824R13C"/>
    <x v="108"/>
    <x v="1"/>
  </r>
  <r>
    <s v="P_0824R13C"/>
    <x v="33"/>
    <x v="1"/>
  </r>
  <r>
    <s v="P_0824R13C"/>
    <x v="109"/>
    <x v="1"/>
  </r>
  <r>
    <s v="P_0824R13C"/>
    <x v="110"/>
    <x v="1"/>
  </r>
  <r>
    <s v="P_0824R13C"/>
    <x v="111"/>
    <x v="1"/>
  </r>
  <r>
    <s v="P_0824R13C"/>
    <x v="18"/>
    <x v="1"/>
  </r>
  <r>
    <s v="P_0824R13C"/>
    <x v="93"/>
    <x v="1"/>
  </r>
  <r>
    <s v="P_0824R13C"/>
    <x v="102"/>
    <x v="1"/>
  </r>
  <r>
    <s v="P_0824R13C"/>
    <x v="112"/>
    <x v="1"/>
  </r>
  <r>
    <s v="P_0824R13C"/>
    <x v="43"/>
    <x v="1"/>
  </r>
  <r>
    <s v="P_0824R13C"/>
    <x v="113"/>
    <x v="1"/>
  </r>
  <r>
    <s v="P_0824R13C"/>
    <x v="77"/>
    <x v="1"/>
  </r>
  <r>
    <s v="P_0824R13C"/>
    <x v="55"/>
    <x v="1"/>
  </r>
  <r>
    <s v="P_0824R13C"/>
    <x v="114"/>
    <x v="1"/>
  </r>
  <r>
    <s v="P_0824R13C"/>
    <x v="57"/>
    <x v="1"/>
  </r>
  <r>
    <s v="P_0824R13C"/>
    <x v="115"/>
    <x v="1"/>
  </r>
  <r>
    <s v="P_0824R13C"/>
    <x v="116"/>
    <x v="1"/>
  </r>
  <r>
    <s v="P_0824R13C"/>
    <x v="86"/>
    <x v="1"/>
  </r>
  <r>
    <s v="P_0824R13C"/>
    <x v="94"/>
    <x v="1"/>
  </r>
  <r>
    <s v="P_0824R22C"/>
    <x v="29"/>
    <x v="1"/>
  </r>
  <r>
    <s v="N_0624R13C"/>
    <x v="94"/>
    <x v="2"/>
  </r>
  <r>
    <s v="N_0624R13C"/>
    <x v="27"/>
    <x v="2"/>
  </r>
  <r>
    <s v="N_0624R13C"/>
    <x v="99"/>
    <x v="2"/>
  </r>
  <r>
    <s v="N_0624R22C"/>
    <x v="22"/>
    <x v="2"/>
  </r>
  <r>
    <s v="N_0624R22C"/>
    <x v="21"/>
    <x v="2"/>
  </r>
  <r>
    <s v="N_0624R22C"/>
    <x v="17"/>
    <x v="2"/>
  </r>
  <r>
    <s v="N_0624R22C"/>
    <x v="1"/>
    <x v="2"/>
  </r>
  <r>
    <s v="N_0624R22C"/>
    <x v="4"/>
    <x v="2"/>
  </r>
  <r>
    <s v="N_0624R22C"/>
    <x v="101"/>
    <x v="2"/>
  </r>
  <r>
    <s v="N_0624R22C"/>
    <x v="24"/>
    <x v="2"/>
  </r>
  <r>
    <s v="P_0624R13C"/>
    <x v="36"/>
    <x v="2"/>
  </r>
  <r>
    <s v="P_0624R13C"/>
    <x v="26"/>
    <x v="2"/>
  </r>
  <r>
    <s v="P_0624R13C"/>
    <x v="38"/>
    <x v="2"/>
  </r>
  <r>
    <s v="P_0624R13C"/>
    <x v="46"/>
    <x v="2"/>
  </r>
  <r>
    <s v="P_0624R13C"/>
    <x v="39"/>
    <x v="2"/>
  </r>
  <r>
    <s v="P_0624R13C"/>
    <x v="45"/>
    <x v="2"/>
  </r>
  <r>
    <s v="P_0624R13C"/>
    <x v="35"/>
    <x v="2"/>
  </r>
  <r>
    <s v="P_0624R13C"/>
    <x v="102"/>
    <x v="2"/>
  </r>
  <r>
    <s v="P_0624R22C"/>
    <x v="36"/>
    <x v="2"/>
  </r>
  <r>
    <s v="P_0624R22C"/>
    <x v="20"/>
    <x v="2"/>
  </r>
  <r>
    <s v="P_0624R22C"/>
    <x v="26"/>
    <x v="2"/>
  </r>
  <r>
    <s v="P_0624R22C"/>
    <x v="22"/>
    <x v="2"/>
  </r>
  <r>
    <s v="P_0624R22C"/>
    <x v="35"/>
    <x v="2"/>
  </r>
  <r>
    <s v="P_0624R22C"/>
    <x v="17"/>
    <x v="2"/>
  </r>
  <r>
    <s v="P_0624R22C"/>
    <x v="40"/>
    <x v="2"/>
  </r>
  <r>
    <s v="P_0624R22C"/>
    <x v="53"/>
    <x v="2"/>
  </r>
  <r>
    <s v="N_0824R13C"/>
    <x v="45"/>
    <x v="2"/>
  </r>
  <r>
    <s v="N_0824R13C"/>
    <x v="59"/>
    <x v="2"/>
  </r>
  <r>
    <s v="N_0824R13C"/>
    <x v="39"/>
    <x v="2"/>
  </r>
  <r>
    <s v="N_0824R22C"/>
    <x v="59"/>
    <x v="2"/>
  </r>
  <r>
    <s v="N_0824R22C"/>
    <x v="45"/>
    <x v="2"/>
  </r>
  <r>
    <s v="N_0824R22C"/>
    <x v="60"/>
    <x v="2"/>
  </r>
  <r>
    <s v="N_0824R22C"/>
    <x v="31"/>
    <x v="2"/>
  </r>
  <r>
    <s v="P_0824R13C"/>
    <x v="29"/>
    <x v="2"/>
  </r>
  <r>
    <s v="P_0824R13C"/>
    <x v="73"/>
    <x v="2"/>
  </r>
  <r>
    <s v="P_0824R13C"/>
    <x v="84"/>
    <x v="2"/>
  </r>
  <r>
    <s v="P_0824R13C"/>
    <x v="51"/>
    <x v="2"/>
  </r>
  <r>
    <s v="P_0824R22C"/>
    <x v="29"/>
    <x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Interpretation"/>
    <s v="N_0624R22C"/>
    <x v="0"/>
    <x v="0"/>
    <x v="0"/>
    <n v="56"/>
  </r>
  <r>
    <s v="Interpretation"/>
    <s v="N_0624R22C"/>
    <x v="0"/>
    <x v="0"/>
    <x v="1"/>
    <n v="202"/>
  </r>
  <r>
    <s v="Interpretation"/>
    <s v="N_0624R22C"/>
    <x v="0"/>
    <x v="0"/>
    <x v="2"/>
    <n v="57"/>
  </r>
  <r>
    <s v="Interpretation"/>
    <s v="N_0624R22C"/>
    <x v="0"/>
    <x v="0"/>
    <x v="3"/>
    <n v="55"/>
  </r>
  <r>
    <s v="Interpretation"/>
    <s v="N_0624R22C"/>
    <x v="0"/>
    <x v="0"/>
    <x v="4"/>
    <n v="22"/>
  </r>
  <r>
    <s v="Interpretation"/>
    <s v="N_0624R22C"/>
    <x v="0"/>
    <x v="0"/>
    <x v="5"/>
    <n v="157"/>
  </r>
  <r>
    <s v="Interpretation"/>
    <s v="N_0624R22C"/>
    <x v="0"/>
    <x v="0"/>
    <x v="6"/>
    <n v="58"/>
  </r>
  <r>
    <s v="Interpretation"/>
    <s v="N_0624R22C"/>
    <x v="0"/>
    <x v="0"/>
    <x v="7"/>
    <n v="77"/>
  </r>
  <r>
    <s v="Interpretation"/>
    <s v="N_0624R22C"/>
    <x v="0"/>
    <x v="0"/>
    <x v="8"/>
    <n v="54"/>
  </r>
  <r>
    <s v="Interpretation"/>
    <s v="N_0624R22C"/>
    <x v="0"/>
    <x v="0"/>
    <x v="9"/>
    <n v="158"/>
  </r>
  <r>
    <s v="Interpretation"/>
    <s v="N_0624R22C"/>
    <x v="0"/>
    <x v="0"/>
    <x v="10"/>
    <n v="23"/>
  </r>
  <r>
    <s v="Interpretation"/>
    <s v="N_0624R22C"/>
    <x v="0"/>
    <x v="0"/>
    <x v="11"/>
    <n v="201"/>
  </r>
  <r>
    <s v="Interpretation"/>
    <s v="N_0624R22C"/>
    <x v="0"/>
    <x v="0"/>
    <x v="12"/>
    <n v="78"/>
  </r>
  <r>
    <s v="Interpretation"/>
    <s v="N_0624R22C"/>
    <x v="0"/>
    <x v="0"/>
    <x v="13"/>
    <n v="32"/>
  </r>
  <r>
    <s v="Interpretation"/>
    <s v="N_0624R22C"/>
    <x v="0"/>
    <x v="0"/>
    <x v="14"/>
    <n v="59"/>
  </r>
  <r>
    <s v="Interpretation"/>
    <s v="N_0624R22C"/>
    <x v="0"/>
    <x v="0"/>
    <x v="15"/>
    <n v="21"/>
  </r>
  <r>
    <s v="Interpretation"/>
    <s v="N_0624R22C"/>
    <x v="0"/>
    <x v="0"/>
    <x v="16"/>
    <n v="85"/>
  </r>
  <r>
    <s v="Interpretation"/>
    <s v="N_0624R22C"/>
    <x v="0"/>
    <x v="0"/>
    <x v="17"/>
    <n v="215"/>
  </r>
  <r>
    <s v="Interpretation"/>
    <s v="P_0624R22C"/>
    <x v="1"/>
    <x v="0"/>
    <x v="18"/>
    <n v="60"/>
  </r>
  <r>
    <s v="Interpretation"/>
    <s v="P_0624R22C"/>
    <x v="1"/>
    <x v="0"/>
    <x v="2"/>
    <n v="57"/>
  </r>
  <r>
    <s v="Interpretation"/>
    <s v="P_0624R22C"/>
    <x v="1"/>
    <x v="0"/>
    <x v="19"/>
    <n v="61"/>
  </r>
  <r>
    <s v="Interpretation"/>
    <s v="P_0624R22C"/>
    <x v="1"/>
    <x v="0"/>
    <x v="14"/>
    <n v="59"/>
  </r>
  <r>
    <s v="Interpretation"/>
    <s v="P_0624R22C"/>
    <x v="1"/>
    <x v="0"/>
    <x v="0"/>
    <n v="56"/>
  </r>
  <r>
    <s v="Interpretation"/>
    <s v="P_0624R22C"/>
    <x v="1"/>
    <x v="0"/>
    <x v="6"/>
    <n v="58"/>
  </r>
  <r>
    <s v="Interpretation"/>
    <s v="P_0624R22C"/>
    <x v="1"/>
    <x v="0"/>
    <x v="20"/>
    <n v="62"/>
  </r>
  <r>
    <s v="Interpretation"/>
    <s v="P_0624R22C"/>
    <x v="1"/>
    <x v="0"/>
    <x v="3"/>
    <n v="55"/>
  </r>
  <r>
    <s v="Interpretation"/>
    <s v="P_0624R22C"/>
    <x v="1"/>
    <x v="0"/>
    <x v="15"/>
    <n v="21"/>
  </r>
  <r>
    <s v="Interpretation"/>
    <s v="P_0624R22C"/>
    <x v="1"/>
    <x v="0"/>
    <x v="21"/>
    <n v="63"/>
  </r>
  <r>
    <s v="Interpretation"/>
    <s v="P_0624R22C"/>
    <x v="1"/>
    <x v="0"/>
    <x v="22"/>
    <n v="20"/>
  </r>
  <r>
    <s v="Interpretation"/>
    <s v="P_0624R22C"/>
    <x v="1"/>
    <x v="0"/>
    <x v="4"/>
    <n v="22"/>
  </r>
  <r>
    <s v="Interpretation"/>
    <s v="P_0624R22C"/>
    <x v="1"/>
    <x v="0"/>
    <x v="23"/>
    <n v="233"/>
  </r>
  <r>
    <s v="Interpretation"/>
    <s v="P_0624R22C"/>
    <x v="1"/>
    <x v="0"/>
    <x v="24"/>
    <n v="49"/>
  </r>
  <r>
    <s v="Interpretation"/>
    <s v="P_0624R22C"/>
    <x v="1"/>
    <x v="0"/>
    <x v="12"/>
    <n v="78"/>
  </r>
  <r>
    <s v="Interpretation"/>
    <s v="P_0624R22C"/>
    <x v="1"/>
    <x v="0"/>
    <x v="25"/>
    <n v="218"/>
  </r>
  <r>
    <s v="Interpretation"/>
    <s v="P_0624R22C"/>
    <x v="1"/>
    <x v="0"/>
    <x v="26"/>
    <n v="143"/>
  </r>
  <r>
    <s v="Interpretation"/>
    <s v="N_0824R22C"/>
    <x v="0"/>
    <x v="0"/>
    <x v="27"/>
    <n v="28"/>
  </r>
  <r>
    <s v="Interpretation"/>
    <s v="N_0824R22C"/>
    <x v="0"/>
    <x v="0"/>
    <x v="28"/>
    <n v="27"/>
  </r>
  <r>
    <s v="Interpretation"/>
    <s v="N_0824R22C"/>
    <x v="0"/>
    <x v="0"/>
    <x v="29"/>
    <n v="149"/>
  </r>
  <r>
    <s v="Interpretation"/>
    <s v="N_0824R22C"/>
    <x v="0"/>
    <x v="0"/>
    <x v="30"/>
    <n v="83"/>
  </r>
  <r>
    <s v="Interpretation"/>
    <s v="N_0824R22C"/>
    <x v="0"/>
    <x v="0"/>
    <x v="31"/>
    <n v="150"/>
  </r>
  <r>
    <s v="Interpretation"/>
    <s v="N_0824R22C"/>
    <x v="0"/>
    <x v="0"/>
    <x v="32"/>
    <n v="26"/>
  </r>
  <r>
    <s v="Interpretation"/>
    <s v="N_0824R22C"/>
    <x v="0"/>
    <x v="0"/>
    <x v="33"/>
    <n v="216"/>
  </r>
  <r>
    <s v="Interpretation"/>
    <s v="N_0824R22C"/>
    <x v="0"/>
    <x v="0"/>
    <x v="34"/>
    <n v="29"/>
  </r>
  <r>
    <s v="Interpretation"/>
    <s v="P_0824R22C"/>
    <x v="1"/>
    <x v="0"/>
    <x v="8"/>
    <n v="54"/>
  </r>
  <r>
    <s v="Prediction"/>
    <s v="N_0624R22C"/>
    <x v="0"/>
    <x v="0"/>
    <x v="0"/>
    <n v="56"/>
  </r>
  <r>
    <s v="Prediction"/>
    <s v="N_0624R22C"/>
    <x v="0"/>
    <x v="0"/>
    <x v="1"/>
    <n v="202"/>
  </r>
  <r>
    <s v="Prediction"/>
    <s v="N_0624R22C"/>
    <x v="0"/>
    <x v="0"/>
    <x v="4"/>
    <n v="22"/>
  </r>
  <r>
    <s v="Prediction"/>
    <s v="N_0624R22C"/>
    <x v="0"/>
    <x v="0"/>
    <x v="5"/>
    <n v="157"/>
  </r>
  <r>
    <s v="Prediction"/>
    <s v="N_0624R22C"/>
    <x v="0"/>
    <x v="0"/>
    <x v="9"/>
    <n v="158"/>
  </r>
  <r>
    <s v="Prediction"/>
    <s v="N_0624R22C"/>
    <x v="0"/>
    <x v="0"/>
    <x v="16"/>
    <n v="85"/>
  </r>
  <r>
    <s v="Prediction"/>
    <s v="N_0624R22C"/>
    <x v="0"/>
    <x v="0"/>
    <x v="17"/>
    <n v="215"/>
  </r>
  <r>
    <s v="Prediction"/>
    <s v="P_0624R22C"/>
    <x v="1"/>
    <x v="0"/>
    <x v="18"/>
    <n v="60"/>
  </r>
  <r>
    <s v="Prediction"/>
    <s v="P_0624R22C"/>
    <x v="1"/>
    <x v="0"/>
    <x v="2"/>
    <n v="57"/>
  </r>
  <r>
    <s v="Prediction"/>
    <s v="P_0624R22C"/>
    <x v="1"/>
    <x v="0"/>
    <x v="14"/>
    <n v="59"/>
  </r>
  <r>
    <s v="Prediction"/>
    <s v="P_0624R22C"/>
    <x v="1"/>
    <x v="0"/>
    <x v="0"/>
    <n v="56"/>
  </r>
  <r>
    <s v="Prediction"/>
    <s v="P_0624R22C"/>
    <x v="1"/>
    <x v="0"/>
    <x v="3"/>
    <n v="55"/>
  </r>
  <r>
    <s v="Prediction"/>
    <s v="P_0624R22C"/>
    <x v="1"/>
    <x v="0"/>
    <x v="4"/>
    <n v="22"/>
  </r>
  <r>
    <s v="Prediction"/>
    <s v="P_0624R22C"/>
    <x v="1"/>
    <x v="0"/>
    <x v="23"/>
    <n v="233"/>
  </r>
  <r>
    <s v="Prediction"/>
    <s v="P_0624R22C"/>
    <x v="1"/>
    <x v="0"/>
    <x v="25"/>
    <n v="218"/>
  </r>
  <r>
    <s v="Prediction"/>
    <s v="N_0824R22C"/>
    <x v="0"/>
    <x v="0"/>
    <x v="27"/>
    <n v="28"/>
  </r>
  <r>
    <s v="Prediction"/>
    <s v="N_0824R22C"/>
    <x v="0"/>
    <x v="0"/>
    <x v="28"/>
    <n v="27"/>
  </r>
  <r>
    <s v="Prediction"/>
    <s v="N_0824R22C"/>
    <x v="0"/>
    <x v="0"/>
    <x v="29"/>
    <n v="149"/>
  </r>
  <r>
    <s v="Prediction"/>
    <s v="N_0824R22C"/>
    <x v="0"/>
    <x v="0"/>
    <x v="30"/>
    <n v="83"/>
  </r>
  <r>
    <s v="Prediction"/>
    <s v="P_0824R22C"/>
    <x v="1"/>
    <x v="0"/>
    <x v="8"/>
    <n v="54"/>
  </r>
  <r>
    <s v="VarImp"/>
    <s v="N_0624R22C"/>
    <x v="0"/>
    <x v="0"/>
    <x v="2"/>
    <n v="57"/>
  </r>
  <r>
    <s v="VarImp"/>
    <s v="N_0624R22C"/>
    <x v="0"/>
    <x v="0"/>
    <x v="1"/>
    <n v="202"/>
  </r>
  <r>
    <s v="VarImp"/>
    <s v="N_0624R22C"/>
    <x v="0"/>
    <x v="0"/>
    <x v="4"/>
    <n v="22"/>
  </r>
  <r>
    <s v="VarImp"/>
    <s v="N_0624R22C"/>
    <x v="0"/>
    <x v="0"/>
    <x v="0"/>
    <n v="56"/>
  </r>
  <r>
    <s v="VarImp"/>
    <s v="N_0624R22C"/>
    <x v="0"/>
    <x v="0"/>
    <x v="15"/>
    <n v="21"/>
  </r>
  <r>
    <s v="VarImp"/>
    <s v="N_0624R22C"/>
    <x v="0"/>
    <x v="0"/>
    <x v="17"/>
    <n v="215"/>
  </r>
  <r>
    <s v="VarImp"/>
    <s v="N_0624R22C"/>
    <x v="0"/>
    <x v="0"/>
    <x v="35"/>
    <n v="15"/>
  </r>
  <r>
    <s v="VarImp"/>
    <s v="N_0624R22C"/>
    <x v="0"/>
    <x v="0"/>
    <x v="36"/>
    <n v="195"/>
  </r>
  <r>
    <s v="VarImp"/>
    <s v="N_0624R22C"/>
    <x v="0"/>
    <x v="0"/>
    <x v="14"/>
    <n v="59"/>
  </r>
  <r>
    <s v="VarImp"/>
    <s v="N_0624R22C"/>
    <x v="0"/>
    <x v="0"/>
    <x v="37"/>
    <n v="156"/>
  </r>
  <r>
    <s v="VarImp"/>
    <s v="N_0624R22C"/>
    <x v="0"/>
    <x v="0"/>
    <x v="38"/>
    <n v="207"/>
  </r>
  <r>
    <s v="VarImp"/>
    <s v="N_0624R22C"/>
    <x v="0"/>
    <x v="0"/>
    <x v="8"/>
    <n v="54"/>
  </r>
  <r>
    <s v="VarImp"/>
    <s v="N_0624R22C"/>
    <x v="0"/>
    <x v="0"/>
    <x v="9"/>
    <n v="158"/>
  </r>
  <r>
    <s v="VarImp"/>
    <s v="N_0624R22C"/>
    <x v="0"/>
    <x v="0"/>
    <x v="39"/>
    <n v="80"/>
  </r>
  <r>
    <s v="VarImp"/>
    <s v="N_0624R22C"/>
    <x v="0"/>
    <x v="0"/>
    <x v="30"/>
    <n v="83"/>
  </r>
  <r>
    <s v="VarImp"/>
    <s v="N_0624R22C"/>
    <x v="0"/>
    <x v="0"/>
    <x v="40"/>
    <n v="124"/>
  </r>
  <r>
    <s v="VarImp"/>
    <s v="N_0624R22C"/>
    <x v="0"/>
    <x v="0"/>
    <x v="41"/>
    <n v="100"/>
  </r>
  <r>
    <s v="VarImp"/>
    <s v="N_0624R22C"/>
    <x v="0"/>
    <x v="0"/>
    <x v="33"/>
    <n v="216"/>
  </r>
  <r>
    <s v="VarImp"/>
    <s v="N_0624R22C"/>
    <x v="0"/>
    <x v="0"/>
    <x v="3"/>
    <n v="55"/>
  </r>
  <r>
    <s v="VarImp"/>
    <s v="N_0624R22C"/>
    <x v="0"/>
    <x v="0"/>
    <x v="42"/>
    <n v="36"/>
  </r>
  <r>
    <s v="VarImp"/>
    <s v="P_0624R22C"/>
    <x v="1"/>
    <x v="0"/>
    <x v="0"/>
    <n v="56"/>
  </r>
  <r>
    <s v="VarImp"/>
    <s v="P_0624R22C"/>
    <x v="1"/>
    <x v="0"/>
    <x v="6"/>
    <n v="58"/>
  </r>
  <r>
    <s v="VarImp"/>
    <s v="P_0624R22C"/>
    <x v="1"/>
    <x v="0"/>
    <x v="2"/>
    <n v="57"/>
  </r>
  <r>
    <s v="VarImp"/>
    <s v="P_0624R22C"/>
    <x v="1"/>
    <x v="0"/>
    <x v="14"/>
    <n v="59"/>
  </r>
  <r>
    <s v="VarImp"/>
    <s v="P_0624R22C"/>
    <x v="1"/>
    <x v="0"/>
    <x v="19"/>
    <n v="61"/>
  </r>
  <r>
    <s v="VarImp"/>
    <s v="P_0624R22C"/>
    <x v="1"/>
    <x v="0"/>
    <x v="20"/>
    <n v="62"/>
  </r>
  <r>
    <s v="VarImp"/>
    <s v="P_0624R22C"/>
    <x v="1"/>
    <x v="0"/>
    <x v="18"/>
    <n v="60"/>
  </r>
  <r>
    <s v="VarImp"/>
    <s v="P_0624R22C"/>
    <x v="1"/>
    <x v="0"/>
    <x v="43"/>
    <n v="79"/>
  </r>
  <r>
    <s v="VarImp"/>
    <s v="P_0624R22C"/>
    <x v="1"/>
    <x v="0"/>
    <x v="25"/>
    <n v="218"/>
  </r>
  <r>
    <s v="VarImp"/>
    <s v="P_0624R22C"/>
    <x v="1"/>
    <x v="0"/>
    <x v="44"/>
    <n v="24"/>
  </r>
  <r>
    <s v="VarImp"/>
    <s v="P_0624R22C"/>
    <x v="1"/>
    <x v="0"/>
    <x v="22"/>
    <n v="20"/>
  </r>
  <r>
    <s v="VarImp"/>
    <s v="P_0624R22C"/>
    <x v="1"/>
    <x v="0"/>
    <x v="21"/>
    <n v="63"/>
  </r>
  <r>
    <s v="VarImp"/>
    <s v="P_0624R22C"/>
    <x v="1"/>
    <x v="0"/>
    <x v="4"/>
    <n v="22"/>
  </r>
  <r>
    <s v="VarImp"/>
    <s v="P_0624R22C"/>
    <x v="1"/>
    <x v="0"/>
    <x v="15"/>
    <n v="21"/>
  </r>
  <r>
    <s v="VarImp"/>
    <s v="P_0624R22C"/>
    <x v="1"/>
    <x v="0"/>
    <x v="45"/>
    <n v="230"/>
  </r>
  <r>
    <s v="VarImp"/>
    <s v="P_0624R22C"/>
    <x v="1"/>
    <x v="0"/>
    <x v="12"/>
    <n v="78"/>
  </r>
  <r>
    <s v="VarImp"/>
    <s v="P_0624R22C"/>
    <x v="1"/>
    <x v="0"/>
    <x v="46"/>
    <n v="18"/>
  </r>
  <r>
    <s v="VarImp"/>
    <s v="P_0624R22C"/>
    <x v="1"/>
    <x v="0"/>
    <x v="47"/>
    <n v="217"/>
  </r>
  <r>
    <s v="VarImp"/>
    <s v="P_0624R22C"/>
    <x v="1"/>
    <x v="0"/>
    <x v="48"/>
    <n v="25"/>
  </r>
  <r>
    <s v="VarImp"/>
    <s v="P_0624R22C"/>
    <x v="1"/>
    <x v="0"/>
    <x v="49"/>
    <n v="19"/>
  </r>
  <r>
    <s v="VarImp"/>
    <s v="N_0824R22C"/>
    <x v="0"/>
    <x v="0"/>
    <x v="29"/>
    <n v="149"/>
  </r>
  <r>
    <s v="VarImp"/>
    <s v="N_0824R22C"/>
    <x v="0"/>
    <x v="0"/>
    <x v="28"/>
    <n v="27"/>
  </r>
  <r>
    <s v="VarImp"/>
    <s v="N_0824R22C"/>
    <x v="0"/>
    <x v="0"/>
    <x v="30"/>
    <n v="83"/>
  </r>
  <r>
    <s v="VarImp"/>
    <s v="N_0824R22C"/>
    <x v="0"/>
    <x v="0"/>
    <x v="31"/>
    <n v="150"/>
  </r>
  <r>
    <s v="VarImp"/>
    <s v="N_0824R22C"/>
    <x v="0"/>
    <x v="0"/>
    <x v="27"/>
    <n v="28"/>
  </r>
  <r>
    <s v="VarImp"/>
    <s v="N_0824R22C"/>
    <x v="0"/>
    <x v="0"/>
    <x v="50"/>
    <n v="90"/>
  </r>
  <r>
    <s v="VarImp"/>
    <s v="N_0824R22C"/>
    <x v="0"/>
    <x v="0"/>
    <x v="32"/>
    <n v="26"/>
  </r>
  <r>
    <s v="VarImp"/>
    <s v="N_0824R22C"/>
    <x v="0"/>
    <x v="0"/>
    <x v="51"/>
    <n v="237"/>
  </r>
  <r>
    <s v="VarImp"/>
    <s v="N_0824R22C"/>
    <x v="0"/>
    <x v="0"/>
    <x v="52"/>
    <n v="148"/>
  </r>
  <r>
    <s v="VarImp"/>
    <s v="N_0824R22C"/>
    <x v="0"/>
    <x v="0"/>
    <x v="53"/>
    <n v="82"/>
  </r>
  <r>
    <s v="VarImp"/>
    <s v="N_0824R22C"/>
    <x v="0"/>
    <x v="0"/>
    <x v="54"/>
    <n v="91"/>
  </r>
  <r>
    <s v="VarImp"/>
    <s v="N_0824R22C"/>
    <x v="0"/>
    <x v="0"/>
    <x v="34"/>
    <n v="29"/>
  </r>
  <r>
    <s v="VarImp"/>
    <s v="N_0824R22C"/>
    <x v="0"/>
    <x v="0"/>
    <x v="37"/>
    <n v="156"/>
  </r>
  <r>
    <s v="VarImp"/>
    <s v="N_0824R22C"/>
    <x v="0"/>
    <x v="0"/>
    <x v="55"/>
    <n v="165"/>
  </r>
  <r>
    <s v="VarImp"/>
    <s v="N_0824R22C"/>
    <x v="0"/>
    <x v="0"/>
    <x v="56"/>
    <n v="92"/>
  </r>
  <r>
    <s v="VarImp"/>
    <s v="N_0824R22C"/>
    <x v="0"/>
    <x v="0"/>
    <x v="57"/>
    <n v="166"/>
  </r>
  <r>
    <s v="VarImp"/>
    <s v="N_0824R22C"/>
    <x v="0"/>
    <x v="0"/>
    <x v="33"/>
    <n v="216"/>
  </r>
  <r>
    <s v="VarImp"/>
    <s v="N_0824R22C"/>
    <x v="0"/>
    <x v="0"/>
    <x v="58"/>
    <n v="84"/>
  </r>
  <r>
    <s v="VarImp"/>
    <s v="N_0824R22C"/>
    <x v="0"/>
    <x v="0"/>
    <x v="17"/>
    <n v="215"/>
  </r>
  <r>
    <s v="VarImp"/>
    <s v="N_0824R22C"/>
    <x v="0"/>
    <x v="0"/>
    <x v="59"/>
    <n v="236"/>
  </r>
  <r>
    <s v="VarImp"/>
    <s v="P_0824R22C"/>
    <x v="1"/>
    <x v="0"/>
    <x v="3"/>
    <n v="55"/>
  </r>
  <r>
    <s v="VarImp"/>
    <s v="P_0824R22C"/>
    <x v="1"/>
    <x v="0"/>
    <x v="8"/>
    <n v="54"/>
  </r>
  <r>
    <s v="VarImp"/>
    <s v="P_0824R22C"/>
    <x v="1"/>
    <x v="0"/>
    <x v="0"/>
    <n v="56"/>
  </r>
  <r>
    <s v="VarImp"/>
    <s v="P_0824R22C"/>
    <x v="1"/>
    <x v="0"/>
    <x v="60"/>
    <n v="53"/>
  </r>
  <r>
    <s v="VarImp"/>
    <s v="P_0824R22C"/>
    <x v="1"/>
    <x v="0"/>
    <x v="9"/>
    <n v="158"/>
  </r>
  <r>
    <s v="VarImp"/>
    <s v="P_0824R22C"/>
    <x v="1"/>
    <x v="0"/>
    <x v="2"/>
    <n v="57"/>
  </r>
  <r>
    <s v="VarImp"/>
    <s v="P_0824R22C"/>
    <x v="1"/>
    <x v="0"/>
    <x v="61"/>
    <n v="52"/>
  </r>
  <r>
    <s v="VarImp"/>
    <s v="P_0824R22C"/>
    <x v="1"/>
    <x v="0"/>
    <x v="20"/>
    <n v="62"/>
  </r>
  <r>
    <s v="VarImp"/>
    <s v="P_0824R22C"/>
    <x v="1"/>
    <x v="0"/>
    <x v="62"/>
    <n v="51"/>
  </r>
  <r>
    <s v="VarImp"/>
    <s v="P_0824R22C"/>
    <x v="1"/>
    <x v="0"/>
    <x v="63"/>
    <n v="119"/>
  </r>
  <r>
    <s v="VarImp"/>
    <s v="P_0824R22C"/>
    <x v="1"/>
    <x v="0"/>
    <x v="18"/>
    <n v="60"/>
  </r>
  <r>
    <s v="VarImp"/>
    <s v="P_0824R22C"/>
    <x v="1"/>
    <x v="0"/>
    <x v="6"/>
    <n v="58"/>
  </r>
  <r>
    <s v="VarImp"/>
    <s v="P_0824R22C"/>
    <x v="1"/>
    <x v="0"/>
    <x v="64"/>
    <n v="121"/>
  </r>
  <r>
    <s v="VarImp"/>
    <s v="P_0824R22C"/>
    <x v="1"/>
    <x v="0"/>
    <x v="65"/>
    <n v="163"/>
  </r>
  <r>
    <s v="VarImp"/>
    <s v="P_0824R22C"/>
    <x v="1"/>
    <x v="0"/>
    <x v="66"/>
    <n v="120"/>
  </r>
  <r>
    <s v="VarImp"/>
    <s v="P_0824R22C"/>
    <x v="1"/>
    <x v="0"/>
    <x v="5"/>
    <n v="157"/>
  </r>
  <r>
    <s v="VarImp"/>
    <s v="P_0824R22C"/>
    <x v="1"/>
    <x v="0"/>
    <x v="67"/>
    <n v="155"/>
  </r>
  <r>
    <s v="VarImp"/>
    <s v="P_0824R22C"/>
    <x v="1"/>
    <x v="0"/>
    <x v="68"/>
    <n v="16"/>
  </r>
  <r>
    <s v="VarImp"/>
    <s v="P_0824R22C"/>
    <x v="1"/>
    <x v="0"/>
    <x v="69"/>
    <n v="122"/>
  </r>
  <r>
    <s v="VarImp"/>
    <s v="P_0824R22C"/>
    <x v="1"/>
    <x v="0"/>
    <x v="14"/>
    <n v="5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Interpretation"/>
    <s v="P_0624R22C"/>
    <s v="Phloem"/>
    <n v="2"/>
    <x v="0"/>
    <n v="60"/>
  </r>
  <r>
    <s v="Interpretation"/>
    <s v="P_0624R22C"/>
    <s v="Phloem"/>
    <n v="2"/>
    <x v="1"/>
    <n v="57"/>
  </r>
  <r>
    <s v="Interpretation"/>
    <s v="P_0624R22C"/>
    <s v="Phloem"/>
    <n v="2"/>
    <x v="2"/>
    <n v="61"/>
  </r>
  <r>
    <s v="Interpretation"/>
    <s v="P_0624R22C"/>
    <s v="Phloem"/>
    <n v="2"/>
    <x v="3"/>
    <n v="59"/>
  </r>
  <r>
    <s v="Interpretation"/>
    <s v="P_0624R22C"/>
    <s v="Phloem"/>
    <n v="2"/>
    <x v="4"/>
    <n v="56"/>
  </r>
  <r>
    <s v="Interpretation"/>
    <s v="P_0624R22C"/>
    <s v="Phloem"/>
    <n v="2"/>
    <x v="5"/>
    <n v="58"/>
  </r>
  <r>
    <s v="Interpretation"/>
    <s v="P_0624R22C"/>
    <s v="Phloem"/>
    <n v="2"/>
    <x v="6"/>
    <n v="62"/>
  </r>
  <r>
    <s v="Interpretation"/>
    <s v="P_0624R22C"/>
    <s v="Phloem"/>
    <n v="2"/>
    <x v="7"/>
    <n v="55"/>
  </r>
  <r>
    <s v="Interpretation"/>
    <s v="P_0624R22C"/>
    <s v="Phloem"/>
    <n v="2"/>
    <x v="8"/>
    <n v="21"/>
  </r>
  <r>
    <s v="Interpretation"/>
    <s v="P_0624R22C"/>
    <s v="Phloem"/>
    <n v="2"/>
    <x v="9"/>
    <n v="63"/>
  </r>
  <r>
    <s v="Interpretation"/>
    <s v="P_0624R22C"/>
    <s v="Phloem"/>
    <n v="2"/>
    <x v="10"/>
    <n v="20"/>
  </r>
  <r>
    <s v="Interpretation"/>
    <s v="P_0624R22C"/>
    <s v="Phloem"/>
    <n v="2"/>
    <x v="11"/>
    <n v="22"/>
  </r>
  <r>
    <s v="Interpretation"/>
    <s v="P_0624R22C"/>
    <s v="Phloem"/>
    <n v="2"/>
    <x v="12"/>
    <n v="233"/>
  </r>
  <r>
    <s v="Interpretation"/>
    <s v="P_0624R22C"/>
    <s v="Phloem"/>
    <n v="2"/>
    <x v="13"/>
    <n v="49"/>
  </r>
  <r>
    <s v="Interpretation"/>
    <s v="P_0624R22C"/>
    <s v="Phloem"/>
    <n v="2"/>
    <x v="14"/>
    <n v="78"/>
  </r>
  <r>
    <s v="Interpretation"/>
    <s v="P_0624R22C"/>
    <s v="Phloem"/>
    <n v="2"/>
    <x v="15"/>
    <n v="218"/>
  </r>
  <r>
    <s v="Interpretation"/>
    <s v="P_0624R22C"/>
    <s v="Phloem"/>
    <n v="2"/>
    <x v="16"/>
    <n v="143"/>
  </r>
  <r>
    <s v="Interpretation"/>
    <s v="P_0824R22C"/>
    <s v="Phloem"/>
    <n v="2"/>
    <x v="17"/>
    <n v="54"/>
  </r>
  <r>
    <s v="Prediction"/>
    <s v="P_0624R22C"/>
    <s v="Phloem"/>
    <n v="2"/>
    <x v="0"/>
    <n v="60"/>
  </r>
  <r>
    <s v="Prediction"/>
    <s v="P_0624R22C"/>
    <s v="Phloem"/>
    <n v="2"/>
    <x v="1"/>
    <n v="57"/>
  </r>
  <r>
    <s v="Prediction"/>
    <s v="P_0624R22C"/>
    <s v="Phloem"/>
    <n v="2"/>
    <x v="3"/>
    <n v="59"/>
  </r>
  <r>
    <s v="Prediction"/>
    <s v="P_0624R22C"/>
    <s v="Phloem"/>
    <n v="2"/>
    <x v="4"/>
    <n v="56"/>
  </r>
  <r>
    <s v="Prediction"/>
    <s v="P_0624R22C"/>
    <s v="Phloem"/>
    <n v="2"/>
    <x v="7"/>
    <n v="55"/>
  </r>
  <r>
    <s v="Prediction"/>
    <s v="P_0624R22C"/>
    <s v="Phloem"/>
    <n v="2"/>
    <x v="11"/>
    <n v="22"/>
  </r>
  <r>
    <s v="Prediction"/>
    <s v="P_0624R22C"/>
    <s v="Phloem"/>
    <n v="2"/>
    <x v="12"/>
    <n v="233"/>
  </r>
  <r>
    <s v="Prediction"/>
    <s v="P_0624R22C"/>
    <s v="Phloem"/>
    <n v="2"/>
    <x v="15"/>
    <n v="218"/>
  </r>
  <r>
    <s v="Prediction"/>
    <s v="P_0824R22C"/>
    <s v="Phloem"/>
    <n v="2"/>
    <x v="17"/>
    <n v="54"/>
  </r>
  <r>
    <s v="VarImp"/>
    <s v="P_0624R22C"/>
    <s v="Phloem"/>
    <n v="2"/>
    <x v="4"/>
    <n v="56"/>
  </r>
  <r>
    <s v="VarImp"/>
    <s v="P_0624R22C"/>
    <s v="Phloem"/>
    <n v="2"/>
    <x v="5"/>
    <n v="58"/>
  </r>
  <r>
    <s v="VarImp"/>
    <s v="P_0624R22C"/>
    <s v="Phloem"/>
    <n v="2"/>
    <x v="1"/>
    <n v="57"/>
  </r>
  <r>
    <s v="VarImp"/>
    <s v="P_0624R22C"/>
    <s v="Phloem"/>
    <n v="2"/>
    <x v="3"/>
    <n v="59"/>
  </r>
  <r>
    <s v="VarImp"/>
    <s v="P_0624R22C"/>
    <s v="Phloem"/>
    <n v="2"/>
    <x v="2"/>
    <n v="61"/>
  </r>
  <r>
    <s v="VarImp"/>
    <s v="P_0624R22C"/>
    <s v="Phloem"/>
    <n v="2"/>
    <x v="6"/>
    <n v="62"/>
  </r>
  <r>
    <s v="VarImp"/>
    <s v="P_0624R22C"/>
    <s v="Phloem"/>
    <n v="2"/>
    <x v="0"/>
    <n v="60"/>
  </r>
  <r>
    <s v="VarImp"/>
    <s v="P_0624R22C"/>
    <s v="Phloem"/>
    <n v="2"/>
    <x v="18"/>
    <n v="79"/>
  </r>
  <r>
    <s v="VarImp"/>
    <s v="P_0624R22C"/>
    <s v="Phloem"/>
    <n v="2"/>
    <x v="15"/>
    <n v="218"/>
  </r>
  <r>
    <s v="VarImp"/>
    <s v="P_0624R22C"/>
    <s v="Phloem"/>
    <n v="2"/>
    <x v="19"/>
    <n v="24"/>
  </r>
  <r>
    <s v="VarImp"/>
    <s v="P_0624R22C"/>
    <s v="Phloem"/>
    <n v="2"/>
    <x v="10"/>
    <n v="20"/>
  </r>
  <r>
    <s v="VarImp"/>
    <s v="P_0624R22C"/>
    <s v="Phloem"/>
    <n v="2"/>
    <x v="9"/>
    <n v="63"/>
  </r>
  <r>
    <s v="VarImp"/>
    <s v="P_0624R22C"/>
    <s v="Phloem"/>
    <n v="2"/>
    <x v="11"/>
    <n v="22"/>
  </r>
  <r>
    <s v="VarImp"/>
    <s v="P_0624R22C"/>
    <s v="Phloem"/>
    <n v="2"/>
    <x v="8"/>
    <n v="21"/>
  </r>
  <r>
    <s v="VarImp"/>
    <s v="P_0624R22C"/>
    <s v="Phloem"/>
    <n v="2"/>
    <x v="20"/>
    <n v="230"/>
  </r>
  <r>
    <s v="VarImp"/>
    <s v="P_0624R22C"/>
    <s v="Phloem"/>
    <n v="2"/>
    <x v="14"/>
    <n v="78"/>
  </r>
  <r>
    <s v="VarImp"/>
    <s v="P_0624R22C"/>
    <s v="Phloem"/>
    <n v="2"/>
    <x v="21"/>
    <n v="18"/>
  </r>
  <r>
    <s v="VarImp"/>
    <s v="P_0624R22C"/>
    <s v="Phloem"/>
    <n v="2"/>
    <x v="22"/>
    <n v="217"/>
  </r>
  <r>
    <s v="VarImp"/>
    <s v="P_0624R22C"/>
    <s v="Phloem"/>
    <n v="2"/>
    <x v="23"/>
    <n v="25"/>
  </r>
  <r>
    <s v="VarImp"/>
    <s v="P_0624R22C"/>
    <s v="Phloem"/>
    <n v="2"/>
    <x v="24"/>
    <n v="19"/>
  </r>
  <r>
    <s v="VarImp"/>
    <s v="P_0824R22C"/>
    <s v="Phloem"/>
    <n v="2"/>
    <x v="7"/>
    <n v="55"/>
  </r>
  <r>
    <s v="VarImp"/>
    <s v="P_0824R22C"/>
    <s v="Phloem"/>
    <n v="2"/>
    <x v="17"/>
    <n v="54"/>
  </r>
  <r>
    <s v="VarImp"/>
    <s v="P_0824R22C"/>
    <s v="Phloem"/>
    <n v="2"/>
    <x v="4"/>
    <n v="56"/>
  </r>
  <r>
    <s v="VarImp"/>
    <s v="P_0824R22C"/>
    <s v="Phloem"/>
    <n v="2"/>
    <x v="25"/>
    <n v="53"/>
  </r>
  <r>
    <s v="VarImp"/>
    <s v="P_0824R22C"/>
    <s v="Phloem"/>
    <n v="2"/>
    <x v="26"/>
    <n v="158"/>
  </r>
  <r>
    <s v="VarImp"/>
    <s v="P_0824R22C"/>
    <s v="Phloem"/>
    <n v="2"/>
    <x v="1"/>
    <n v="57"/>
  </r>
  <r>
    <s v="VarImp"/>
    <s v="P_0824R22C"/>
    <s v="Phloem"/>
    <n v="2"/>
    <x v="27"/>
    <n v="52"/>
  </r>
  <r>
    <s v="VarImp"/>
    <s v="P_0824R22C"/>
    <s v="Phloem"/>
    <n v="2"/>
    <x v="6"/>
    <n v="62"/>
  </r>
  <r>
    <s v="VarImp"/>
    <s v="P_0824R22C"/>
    <s v="Phloem"/>
    <n v="2"/>
    <x v="28"/>
    <n v="51"/>
  </r>
  <r>
    <s v="VarImp"/>
    <s v="P_0824R22C"/>
    <s v="Phloem"/>
    <n v="2"/>
    <x v="29"/>
    <n v="119"/>
  </r>
  <r>
    <s v="VarImp"/>
    <s v="P_0824R22C"/>
    <s v="Phloem"/>
    <n v="2"/>
    <x v="0"/>
    <n v="60"/>
  </r>
  <r>
    <s v="VarImp"/>
    <s v="P_0824R22C"/>
    <s v="Phloem"/>
    <n v="2"/>
    <x v="5"/>
    <n v="58"/>
  </r>
  <r>
    <s v="VarImp"/>
    <s v="P_0824R22C"/>
    <s v="Phloem"/>
    <n v="2"/>
    <x v="30"/>
    <n v="121"/>
  </r>
  <r>
    <s v="VarImp"/>
    <s v="P_0824R22C"/>
    <s v="Phloem"/>
    <n v="2"/>
    <x v="31"/>
    <n v="163"/>
  </r>
  <r>
    <s v="VarImp"/>
    <s v="P_0824R22C"/>
    <s v="Phloem"/>
    <n v="2"/>
    <x v="32"/>
    <n v="120"/>
  </r>
  <r>
    <s v="VarImp"/>
    <s v="P_0824R22C"/>
    <s v="Phloem"/>
    <n v="2"/>
    <x v="33"/>
    <n v="157"/>
  </r>
  <r>
    <s v="VarImp"/>
    <s v="P_0824R22C"/>
    <s v="Phloem"/>
    <n v="2"/>
    <x v="34"/>
    <n v="155"/>
  </r>
  <r>
    <s v="VarImp"/>
    <s v="P_0824R22C"/>
    <s v="Phloem"/>
    <n v="2"/>
    <x v="35"/>
    <n v="16"/>
  </r>
  <r>
    <s v="VarImp"/>
    <s v="P_0824R22C"/>
    <s v="Phloem"/>
    <n v="2"/>
    <x v="36"/>
    <n v="122"/>
  </r>
  <r>
    <s v="VarImp"/>
    <s v="P_0824R22C"/>
    <s v="Phloem"/>
    <n v="2"/>
    <x v="3"/>
    <n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224FE-568C-4408-8B7F-403CBBF26241}" name="PivotTable1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324" firstHeaderRow="1" firstDataRow="1" firstDataCol="1"/>
  <pivotFields count="3">
    <pivotField showAll="0"/>
    <pivotField axis="axisRow" dataField="1" showAll="0" sortType="descending">
      <items count="118">
        <item x="2"/>
        <item x="50"/>
        <item x="74"/>
        <item x="80"/>
        <item x="40"/>
        <item x="55"/>
        <item x="12"/>
        <item x="13"/>
        <item x="53"/>
        <item x="58"/>
        <item x="34"/>
        <item x="24"/>
        <item x="28"/>
        <item x="3"/>
        <item x="21"/>
        <item x="100"/>
        <item x="98"/>
        <item x="25"/>
        <item x="99"/>
        <item x="85"/>
        <item x="113"/>
        <item x="6"/>
        <item x="105"/>
        <item x="84"/>
        <item x="83"/>
        <item x="78"/>
        <item x="76"/>
        <item x="92"/>
        <item x="88"/>
        <item x="4"/>
        <item x="1"/>
        <item x="27"/>
        <item x="94"/>
        <item x="97"/>
        <item x="72"/>
        <item x="60"/>
        <item x="63"/>
        <item x="64"/>
        <item x="70"/>
        <item x="104"/>
        <item x="110"/>
        <item x="87"/>
        <item x="32"/>
        <item x="96"/>
        <item x="91"/>
        <item x="93"/>
        <item x="18"/>
        <item x="86"/>
        <item x="114"/>
        <item x="106"/>
        <item x="109"/>
        <item x="107"/>
        <item x="61"/>
        <item x="11"/>
        <item x="108"/>
        <item x="33"/>
        <item x="111"/>
        <item x="81"/>
        <item x="77"/>
        <item x="75"/>
        <item x="73"/>
        <item x="66"/>
        <item x="101"/>
        <item x="79"/>
        <item x="31"/>
        <item x="48"/>
        <item x="30"/>
        <item x="52"/>
        <item x="56"/>
        <item x="46"/>
        <item x="71"/>
        <item x="102"/>
        <item x="43"/>
        <item x="9"/>
        <item x="54"/>
        <item x="51"/>
        <item x="37"/>
        <item x="36"/>
        <item x="26"/>
        <item x="42"/>
        <item x="20"/>
        <item x="22"/>
        <item x="35"/>
        <item x="29"/>
        <item x="82"/>
        <item x="89"/>
        <item x="90"/>
        <item x="19"/>
        <item x="103"/>
        <item x="112"/>
        <item x="5"/>
        <item x="68"/>
        <item x="67"/>
        <item x="69"/>
        <item x="15"/>
        <item x="7"/>
        <item x="10"/>
        <item x="65"/>
        <item x="0"/>
        <item x="62"/>
        <item x="59"/>
        <item x="45"/>
        <item x="39"/>
        <item x="41"/>
        <item x="38"/>
        <item x="44"/>
        <item x="17"/>
        <item x="23"/>
        <item x="49"/>
        <item x="47"/>
        <item x="57"/>
        <item x="95"/>
        <item x="8"/>
        <item x="16"/>
        <item x="14"/>
        <item x="115"/>
        <item x="1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1"/>
        <item x="2"/>
        <item x="0"/>
        <item t="default"/>
      </items>
    </pivotField>
  </pivotFields>
  <rowFields count="2">
    <field x="1"/>
    <field x="2"/>
  </rowFields>
  <rowItems count="322">
    <i>
      <x v="81"/>
    </i>
    <i r="1">
      <x/>
    </i>
    <i r="1">
      <x v="1"/>
    </i>
    <i r="1">
      <x v="2"/>
    </i>
    <i>
      <x v="78"/>
    </i>
    <i r="1">
      <x/>
    </i>
    <i r="1">
      <x v="1"/>
    </i>
    <i r="1">
      <x v="2"/>
    </i>
    <i>
      <x v="82"/>
    </i>
    <i r="1">
      <x/>
    </i>
    <i r="1">
      <x v="1"/>
    </i>
    <i r="1">
      <x v="2"/>
    </i>
    <i>
      <x v="80"/>
    </i>
    <i r="1">
      <x/>
    </i>
    <i r="1">
      <x v="1"/>
    </i>
    <i r="1">
      <x v="2"/>
    </i>
    <i>
      <x v="77"/>
    </i>
    <i r="1">
      <x/>
    </i>
    <i r="1">
      <x v="1"/>
    </i>
    <i r="1">
      <x v="2"/>
    </i>
    <i>
      <x v="101"/>
    </i>
    <i r="1">
      <x/>
    </i>
    <i r="1">
      <x v="1"/>
    </i>
    <i r="1">
      <x v="2"/>
    </i>
    <i>
      <x v="83"/>
    </i>
    <i r="1">
      <x/>
    </i>
    <i r="1">
      <x v="1"/>
    </i>
    <i r="1">
      <x v="2"/>
    </i>
    <i>
      <x v="106"/>
    </i>
    <i r="1">
      <x/>
    </i>
    <i r="1">
      <x v="1"/>
    </i>
    <i r="1">
      <x v="2"/>
    </i>
    <i>
      <x v="102"/>
    </i>
    <i r="1">
      <x/>
    </i>
    <i r="1">
      <x v="1"/>
    </i>
    <i r="1">
      <x v="2"/>
    </i>
    <i>
      <x v="79"/>
    </i>
    <i r="1">
      <x/>
    </i>
    <i r="1">
      <x v="2"/>
    </i>
    <i>
      <x v="29"/>
    </i>
    <i r="1">
      <x/>
    </i>
    <i r="1">
      <x v="1"/>
    </i>
    <i r="1">
      <x v="2"/>
    </i>
    <i>
      <x v="100"/>
    </i>
    <i r="1">
      <x/>
    </i>
    <i r="1">
      <x v="1"/>
    </i>
    <i r="1">
      <x v="2"/>
    </i>
    <i>
      <x v="75"/>
    </i>
    <i r="1">
      <x/>
    </i>
    <i r="1">
      <x v="1"/>
    </i>
    <i r="1">
      <x v="2"/>
    </i>
    <i>
      <x v="31"/>
    </i>
    <i r="1">
      <x/>
    </i>
    <i r="1">
      <x v="1"/>
    </i>
    <i r="1">
      <x v="2"/>
    </i>
    <i>
      <x v="103"/>
    </i>
    <i r="1">
      <x/>
    </i>
    <i r="1">
      <x v="2"/>
    </i>
    <i>
      <x v="104"/>
    </i>
    <i r="1">
      <x/>
    </i>
    <i r="1">
      <x v="1"/>
    </i>
    <i r="1">
      <x v="2"/>
    </i>
    <i>
      <x v="30"/>
    </i>
    <i r="1">
      <x/>
    </i>
    <i r="1">
      <x v="1"/>
    </i>
    <i r="1">
      <x v="2"/>
    </i>
    <i>
      <x v="76"/>
    </i>
    <i r="1">
      <x/>
    </i>
    <i r="1">
      <x v="2"/>
    </i>
    <i>
      <x v="69"/>
    </i>
    <i r="1">
      <x/>
    </i>
    <i r="1">
      <x v="1"/>
    </i>
    <i r="1">
      <x v="2"/>
    </i>
    <i>
      <x v="35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64"/>
    </i>
    <i r="1">
      <x/>
    </i>
    <i r="1">
      <x v="1"/>
    </i>
    <i r="1">
      <x v="2"/>
    </i>
    <i>
      <x v="32"/>
    </i>
    <i r="1">
      <x/>
    </i>
    <i r="1">
      <x v="1"/>
    </i>
    <i r="1">
      <x v="2"/>
    </i>
    <i>
      <x v="68"/>
    </i>
    <i r="1">
      <x/>
    </i>
    <i r="1">
      <x v="2"/>
    </i>
    <i>
      <x v="46"/>
    </i>
    <i r="1">
      <x/>
    </i>
    <i r="1">
      <x v="2"/>
    </i>
    <i>
      <x v="107"/>
    </i>
    <i r="1">
      <x/>
    </i>
    <i r="1">
      <x v="2"/>
    </i>
    <i>
      <x v="108"/>
    </i>
    <i r="1">
      <x/>
    </i>
    <i r="1">
      <x v="2"/>
    </i>
    <i>
      <x v="25"/>
    </i>
    <i r="1">
      <x/>
    </i>
    <i r="1">
      <x v="2"/>
    </i>
    <i>
      <x v="74"/>
    </i>
    <i r="1">
      <x/>
    </i>
    <i r="1">
      <x v="2"/>
    </i>
    <i>
      <x v="10"/>
    </i>
    <i r="1">
      <x/>
    </i>
    <i r="1">
      <x v="2"/>
    </i>
    <i>
      <x v="8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99"/>
    </i>
    <i r="1">
      <x/>
    </i>
    <i r="1">
      <x v="2"/>
    </i>
    <i>
      <x v="71"/>
    </i>
    <i r="1">
      <x/>
    </i>
    <i r="1">
      <x v="1"/>
    </i>
    <i>
      <x v="2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60"/>
    </i>
    <i r="1">
      <x/>
    </i>
    <i r="1">
      <x v="1"/>
    </i>
    <i r="1">
      <x v="2"/>
    </i>
    <i>
      <x v="84"/>
    </i>
    <i r="1">
      <x/>
    </i>
    <i r="1">
      <x v="2"/>
    </i>
    <i>
      <x v="105"/>
    </i>
    <i r="1">
      <x/>
    </i>
    <i r="1">
      <x v="2"/>
    </i>
    <i>
      <x v="94"/>
    </i>
    <i r="1">
      <x v="2"/>
    </i>
    <i>
      <x v="96"/>
    </i>
    <i r="1">
      <x/>
    </i>
    <i r="1">
      <x v="2"/>
    </i>
    <i>
      <x v="72"/>
    </i>
    <i r="1">
      <x/>
    </i>
    <i r="1">
      <x v="2"/>
    </i>
    <i>
      <x v="109"/>
    </i>
    <i r="1">
      <x/>
    </i>
    <i r="1">
      <x v="2"/>
    </i>
    <i>
      <x v="5"/>
    </i>
    <i r="1">
      <x/>
    </i>
    <i r="1">
      <x v="2"/>
    </i>
    <i>
      <x v="28"/>
    </i>
    <i r="1">
      <x/>
    </i>
    <i r="1">
      <x v="2"/>
    </i>
    <i>
      <x v="57"/>
    </i>
    <i r="1">
      <x/>
    </i>
    <i r="1">
      <x v="2"/>
    </i>
    <i>
      <x v="24"/>
    </i>
    <i r="1">
      <x/>
    </i>
    <i r="1">
      <x v="2"/>
    </i>
    <i>
      <x v="36"/>
    </i>
    <i r="1">
      <x v="2"/>
    </i>
    <i>
      <x v="61"/>
    </i>
    <i r="1">
      <x/>
    </i>
    <i r="1">
      <x v="2"/>
    </i>
    <i>
      <x v="52"/>
    </i>
    <i r="1">
      <x/>
    </i>
    <i r="1">
      <x v="2"/>
    </i>
    <i>
      <x v="62"/>
    </i>
    <i r="1">
      <x/>
    </i>
    <i r="1">
      <x v="1"/>
    </i>
    <i>
      <x v="98"/>
    </i>
    <i r="1">
      <x/>
    </i>
    <i r="1">
      <x v="2"/>
    </i>
    <i>
      <x v="18"/>
    </i>
    <i r="1">
      <x/>
    </i>
    <i r="1">
      <x v="1"/>
    </i>
    <i>
      <x v="70"/>
    </i>
    <i r="1">
      <x/>
    </i>
    <i r="1">
      <x v="2"/>
    </i>
    <i>
      <x v="26"/>
    </i>
    <i r="1">
      <x/>
    </i>
    <i r="1">
      <x v="2"/>
    </i>
    <i>
      <x v="45"/>
    </i>
    <i r="1">
      <x/>
    </i>
    <i r="1">
      <x v="2"/>
    </i>
    <i>
      <x v="85"/>
    </i>
    <i r="1">
      <x/>
    </i>
    <i r="1">
      <x v="2"/>
    </i>
    <i>
      <x v="47"/>
    </i>
    <i r="1">
      <x/>
    </i>
    <i r="1">
      <x v="2"/>
    </i>
    <i>
      <x v="110"/>
    </i>
    <i r="1">
      <x/>
    </i>
    <i r="1">
      <x v="2"/>
    </i>
    <i>
      <x v="55"/>
    </i>
    <i r="1">
      <x/>
    </i>
    <i r="1">
      <x v="2"/>
    </i>
    <i>
      <x v="95"/>
    </i>
    <i r="1">
      <x v="2"/>
    </i>
    <i>
      <x v="59"/>
    </i>
    <i r="1">
      <x/>
    </i>
    <i r="1">
      <x v="2"/>
    </i>
    <i>
      <x v="34"/>
    </i>
    <i r="1">
      <x/>
    </i>
    <i r="1">
      <x v="2"/>
    </i>
    <i>
      <x v="65"/>
    </i>
    <i r="1">
      <x v="2"/>
    </i>
    <i>
      <x v="112"/>
    </i>
    <i r="1">
      <x v="2"/>
    </i>
    <i>
      <x v="67"/>
    </i>
    <i r="1">
      <x/>
    </i>
    <i r="1">
      <x v="2"/>
    </i>
    <i>
      <x v="58"/>
    </i>
    <i r="1">
      <x/>
    </i>
    <i r="1">
      <x v="2"/>
    </i>
    <i>
      <x v="53"/>
    </i>
    <i r="1">
      <x v="2"/>
    </i>
    <i>
      <x v="114"/>
    </i>
    <i r="1">
      <x v="2"/>
    </i>
    <i>
      <x v="12"/>
    </i>
    <i r="1">
      <x v="2"/>
    </i>
    <i>
      <x v="33"/>
    </i>
    <i r="1">
      <x/>
    </i>
    <i>
      <x v="50"/>
    </i>
    <i r="1">
      <x/>
    </i>
    <i>
      <x v="17"/>
    </i>
    <i r="1">
      <x v="2"/>
    </i>
    <i>
      <x v="1"/>
    </i>
    <i r="1">
      <x v="2"/>
    </i>
    <i>
      <x v="7"/>
    </i>
    <i r="1">
      <x v="2"/>
    </i>
    <i>
      <x v="15"/>
    </i>
    <i r="1">
      <x/>
    </i>
    <i>
      <x v="19"/>
    </i>
    <i r="1">
      <x v="2"/>
    </i>
    <i>
      <x v="92"/>
    </i>
    <i r="1">
      <x v="2"/>
    </i>
    <i>
      <x v="37"/>
    </i>
    <i r="1">
      <x v="2"/>
    </i>
    <i>
      <x v="3"/>
    </i>
    <i r="1">
      <x v="2"/>
    </i>
    <i>
      <x v="73"/>
    </i>
    <i r="1">
      <x v="2"/>
    </i>
    <i>
      <x v="9"/>
    </i>
    <i r="1">
      <x v="2"/>
    </i>
    <i>
      <x v="38"/>
    </i>
    <i r="1">
      <x v="2"/>
    </i>
    <i>
      <x v="2"/>
    </i>
    <i r="1">
      <x v="2"/>
    </i>
    <i>
      <x v="39"/>
    </i>
    <i r="1">
      <x/>
    </i>
    <i>
      <x v="63"/>
    </i>
    <i r="1">
      <x v="2"/>
    </i>
    <i>
      <x v="40"/>
    </i>
    <i r="1">
      <x/>
    </i>
    <i>
      <x v="66"/>
    </i>
    <i r="1">
      <x v="2"/>
    </i>
    <i>
      <x v="41"/>
    </i>
    <i r="1">
      <x v="2"/>
    </i>
    <i>
      <x v="116"/>
    </i>
    <i r="1">
      <x/>
    </i>
    <i>
      <x v="42"/>
    </i>
    <i r="1">
      <x v="2"/>
    </i>
    <i>
      <x v="93"/>
    </i>
    <i r="1">
      <x v="2"/>
    </i>
    <i>
      <x v="43"/>
    </i>
    <i r="1">
      <x v="2"/>
    </i>
    <i>
      <x v="51"/>
    </i>
    <i r="1">
      <x/>
    </i>
    <i>
      <x v="44"/>
    </i>
    <i r="1">
      <x v="2"/>
    </i>
    <i>
      <x v="97"/>
    </i>
    <i r="1">
      <x v="2"/>
    </i>
    <i>
      <x v="20"/>
    </i>
    <i r="1">
      <x/>
    </i>
    <i>
      <x v="54"/>
    </i>
    <i r="1">
      <x/>
    </i>
    <i>
      <x v="21"/>
    </i>
    <i r="1">
      <x v="2"/>
    </i>
    <i>
      <x v="56"/>
    </i>
    <i r="1">
      <x/>
    </i>
    <i>
      <x v="22"/>
    </i>
    <i r="1">
      <x/>
    </i>
    <i>
      <x/>
    </i>
    <i r="1">
      <x v="2"/>
    </i>
    <i>
      <x v="48"/>
    </i>
    <i r="1">
      <x/>
    </i>
    <i>
      <x v="27"/>
    </i>
    <i r="1">
      <x v="2"/>
    </i>
    <i>
      <x v="49"/>
    </i>
    <i r="1">
      <x/>
    </i>
    <i>
      <x v="13"/>
    </i>
    <i r="1">
      <x v="2"/>
    </i>
    <i>
      <x v="86"/>
    </i>
    <i r="1">
      <x v="2"/>
    </i>
    <i>
      <x v="6"/>
    </i>
    <i r="1">
      <x v="2"/>
    </i>
    <i>
      <x v="87"/>
    </i>
    <i r="1">
      <x v="2"/>
    </i>
    <i>
      <x v="111"/>
    </i>
    <i r="1">
      <x v="2"/>
    </i>
    <i>
      <x v="88"/>
    </i>
    <i r="1">
      <x/>
    </i>
    <i>
      <x v="113"/>
    </i>
    <i r="1">
      <x v="2"/>
    </i>
    <i>
      <x v="89"/>
    </i>
    <i r="1">
      <x/>
    </i>
    <i>
      <x v="115"/>
    </i>
    <i r="1">
      <x/>
    </i>
    <i>
      <x v="90"/>
    </i>
    <i r="1">
      <x v="2"/>
    </i>
    <i>
      <x v="16"/>
    </i>
    <i r="1">
      <x/>
    </i>
    <i>
      <x v="91"/>
    </i>
    <i r="1">
      <x v="2"/>
    </i>
    <i t="grand">
      <x/>
    </i>
  </rowItems>
  <colItems count="1">
    <i/>
  </colItems>
  <dataFields count="1">
    <dataField name="Count of Wavelength (nm)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9C63E-E856-479F-B3BC-A82379060694}" name="PivotTable1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avelength (nm)">
  <location ref="D2:F65" firstHeaderRow="0" firstDataRow="1" firstDataCol="1"/>
  <pivotFields count="7">
    <pivotField showAll="0"/>
    <pivotField showAll="0"/>
    <pivotField showAll="0"/>
    <pivotField axis="axisRow" dataField="1" showAll="0" sortType="descending">
      <items count="63">
        <item x="23"/>
        <item x="33"/>
        <item x="30"/>
        <item x="32"/>
        <item x="47"/>
        <item x="46"/>
        <item x="45"/>
        <item x="29"/>
        <item x="27"/>
        <item x="56"/>
        <item x="51"/>
        <item x="43"/>
        <item x="58"/>
        <item x="26"/>
        <item x="59"/>
        <item x="21"/>
        <item x="4"/>
        <item x="10"/>
        <item x="11"/>
        <item x="18"/>
        <item x="49"/>
        <item x="61"/>
        <item x="55"/>
        <item x="57"/>
        <item x="50"/>
        <item x="48"/>
        <item x="7"/>
        <item x="36"/>
        <item x="28"/>
        <item x="25"/>
        <item x="22"/>
        <item x="14"/>
        <item x="31"/>
        <item x="20"/>
        <item x="24"/>
        <item x="19"/>
        <item x="42"/>
        <item x="53"/>
        <item x="44"/>
        <item x="38"/>
        <item x="40"/>
        <item x="39"/>
        <item x="35"/>
        <item x="37"/>
        <item x="34"/>
        <item x="41"/>
        <item x="52"/>
        <item x="54"/>
        <item x="16"/>
        <item x="15"/>
        <item x="17"/>
        <item x="9"/>
        <item x="12"/>
        <item x="6"/>
        <item x="13"/>
        <item x="8"/>
        <item x="2"/>
        <item x="0"/>
        <item x="1"/>
        <item x="3"/>
        <item x="5"/>
        <item x="6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</pivotFields>
  <rowFields count="1">
    <field x="3"/>
  </rowFields>
  <rowItems count="63">
    <i>
      <x v="45"/>
    </i>
    <i>
      <x v="41"/>
    </i>
    <i>
      <x v="39"/>
    </i>
    <i>
      <x v="7"/>
    </i>
    <i>
      <x v="43"/>
    </i>
    <i>
      <x v="11"/>
    </i>
    <i>
      <x v="56"/>
    </i>
    <i>
      <x v="13"/>
    </i>
    <i>
      <x v="40"/>
    </i>
    <i>
      <x v="16"/>
    </i>
    <i>
      <x v="42"/>
    </i>
    <i>
      <x v="17"/>
    </i>
    <i>
      <x v="44"/>
    </i>
    <i>
      <x v="24"/>
    </i>
    <i>
      <x v="55"/>
    </i>
    <i>
      <x v="57"/>
    </i>
    <i>
      <x v="38"/>
    </i>
    <i>
      <x v="58"/>
    </i>
    <i>
      <x v="49"/>
    </i>
    <i>
      <x v="2"/>
    </i>
    <i>
      <x v="18"/>
    </i>
    <i>
      <x v="19"/>
    </i>
    <i>
      <x v="15"/>
    </i>
    <i>
      <x v="20"/>
    </i>
    <i>
      <x v="53"/>
    </i>
    <i>
      <x v="21"/>
    </i>
    <i>
      <x v="9"/>
    </i>
    <i>
      <x v="22"/>
    </i>
    <i>
      <x v="3"/>
    </i>
    <i>
      <x v="23"/>
    </i>
    <i>
      <x v="47"/>
    </i>
    <i>
      <x v="6"/>
    </i>
    <i>
      <x v="51"/>
    </i>
    <i>
      <x v="25"/>
    </i>
    <i>
      <x v="4"/>
    </i>
    <i>
      <x v="26"/>
    </i>
    <i>
      <x v="8"/>
    </i>
    <i>
      <x v="27"/>
    </i>
    <i>
      <x v="10"/>
    </i>
    <i>
      <x v="1"/>
    </i>
    <i>
      <x v="12"/>
    </i>
    <i>
      <x v="59"/>
    </i>
    <i>
      <x v="14"/>
    </i>
    <i>
      <x v="61"/>
    </i>
    <i>
      <x v="46"/>
    </i>
    <i>
      <x v="31"/>
    </i>
    <i>
      <x v="48"/>
    </i>
    <i>
      <x v="32"/>
    </i>
    <i>
      <x v="50"/>
    </i>
    <i>
      <x v="33"/>
    </i>
    <i>
      <x v="52"/>
    </i>
    <i>
      <x v="34"/>
    </i>
    <i>
      <x v="54"/>
    </i>
    <i>
      <x v="35"/>
    </i>
    <i>
      <x v="5"/>
    </i>
    <i>
      <x v="36"/>
    </i>
    <i>
      <x v="37"/>
    </i>
    <i>
      <x v="28"/>
    </i>
    <i>
      <x v="60"/>
    </i>
    <i>
      <x v="29"/>
    </i>
    <i>
      <x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Importance (x97)" fld="6" subtotal="average" baseField="3" baseItem="0"/>
    <dataField name="Count of Wavelength (nm)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FB8CD-1D11-4E2D-ADAC-4925EDD9C6B8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avelength (nm)">
  <location ref="A2:C62" firstHeaderRow="0" firstDataRow="1" firstDataCol="1"/>
  <pivotFields count="7">
    <pivotField showAll="0"/>
    <pivotField showAll="0"/>
    <pivotField showAll="0"/>
    <pivotField axis="axisRow" dataField="1" showAll="0" sortType="descending">
      <items count="60">
        <item x="2"/>
        <item x="50"/>
        <item x="40"/>
        <item x="55"/>
        <item x="12"/>
        <item x="13"/>
        <item x="53"/>
        <item x="58"/>
        <item x="34"/>
        <item x="24"/>
        <item x="28"/>
        <item x="3"/>
        <item x="21"/>
        <item x="25"/>
        <item x="6"/>
        <item x="4"/>
        <item x="1"/>
        <item x="27"/>
        <item x="32"/>
        <item x="18"/>
        <item x="11"/>
        <item x="33"/>
        <item x="31"/>
        <item x="48"/>
        <item x="30"/>
        <item x="52"/>
        <item x="56"/>
        <item x="46"/>
        <item x="43"/>
        <item x="9"/>
        <item x="54"/>
        <item x="51"/>
        <item x="37"/>
        <item x="36"/>
        <item x="26"/>
        <item x="42"/>
        <item x="20"/>
        <item x="22"/>
        <item x="35"/>
        <item x="29"/>
        <item x="19"/>
        <item x="5"/>
        <item x="15"/>
        <item x="7"/>
        <item x="10"/>
        <item x="0"/>
        <item x="45"/>
        <item x="39"/>
        <item x="41"/>
        <item x="38"/>
        <item x="44"/>
        <item x="17"/>
        <item x="23"/>
        <item x="49"/>
        <item x="47"/>
        <item x="57"/>
        <item x="8"/>
        <item x="16"/>
        <item x="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</pivotFields>
  <rowFields count="1">
    <field x="3"/>
  </rowFields>
  <rowItems count="60">
    <i>
      <x v="51"/>
    </i>
    <i>
      <x v="37"/>
    </i>
    <i>
      <x v="34"/>
    </i>
    <i>
      <x v="36"/>
    </i>
    <i>
      <x v="48"/>
    </i>
    <i>
      <x v="53"/>
    </i>
    <i>
      <x v="32"/>
    </i>
    <i>
      <x v="15"/>
    </i>
    <i>
      <x v="42"/>
    </i>
    <i>
      <x v="35"/>
    </i>
    <i>
      <x v="49"/>
    </i>
    <i>
      <x v="54"/>
    </i>
    <i>
      <x v="52"/>
    </i>
    <i>
      <x v="31"/>
    </i>
    <i>
      <x v="33"/>
    </i>
    <i>
      <x v="38"/>
    </i>
    <i>
      <x v="56"/>
    </i>
    <i>
      <x v="11"/>
    </i>
    <i>
      <x v="40"/>
    </i>
    <i>
      <x v="7"/>
    </i>
    <i>
      <x v="18"/>
    </i>
    <i>
      <x v="44"/>
    </i>
    <i>
      <x v="19"/>
    </i>
    <i>
      <x v="14"/>
    </i>
    <i>
      <x v="20"/>
    </i>
    <i>
      <x v="9"/>
    </i>
    <i>
      <x v="21"/>
    </i>
    <i>
      <x v="10"/>
    </i>
    <i>
      <x v="22"/>
    </i>
    <i>
      <x v="46"/>
    </i>
    <i>
      <x v="23"/>
    </i>
    <i>
      <x v="50"/>
    </i>
    <i>
      <x v="24"/>
    </i>
    <i>
      <x v="16"/>
    </i>
    <i>
      <x v="25"/>
    </i>
    <i>
      <x v="8"/>
    </i>
    <i>
      <x v="26"/>
    </i>
    <i>
      <x v="39"/>
    </i>
    <i>
      <x v="55"/>
    </i>
    <i>
      <x v="41"/>
    </i>
    <i>
      <x v="57"/>
    </i>
    <i>
      <x v="43"/>
    </i>
    <i>
      <x/>
    </i>
    <i>
      <x v="45"/>
    </i>
    <i>
      <x v="30"/>
    </i>
    <i>
      <x v="47"/>
    </i>
    <i>
      <x v="2"/>
    </i>
    <i>
      <x v="12"/>
    </i>
    <i>
      <x v="3"/>
    </i>
    <i>
      <x v="13"/>
    </i>
    <i>
      <x v="4"/>
    </i>
    <i>
      <x v="1"/>
    </i>
    <i>
      <x v="5"/>
    </i>
    <i>
      <x v="17"/>
    </i>
    <i>
      <x v="6"/>
    </i>
    <i>
      <x v="27"/>
    </i>
    <i>
      <x v="58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Importance (x97)" fld="6" subtotal="average" baseField="3" baseItem="0"/>
    <dataField name="Count of Wavelength (nm)" fld="3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B8BFE-EF10-4A31-AEE9-71F729CA9353}" name="PivotTable1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avelength (nm)">
  <location ref="D2:F65" firstHeaderRow="0" firstDataRow="1" firstDataCol="1"/>
  <pivotFields count="7">
    <pivotField showAll="0"/>
    <pivotField showAll="0"/>
    <pivotField showAll="0"/>
    <pivotField axis="axisRow" dataField="1" showAll="0">
      <items count="63">
        <item x="41"/>
        <item x="50"/>
        <item x="29"/>
        <item x="25"/>
        <item x="32"/>
        <item x="17"/>
        <item x="5"/>
        <item x="10"/>
        <item x="1"/>
        <item x="7"/>
        <item x="48"/>
        <item x="46"/>
        <item x="56"/>
        <item x="12"/>
        <item x="58"/>
        <item x="9"/>
        <item x="59"/>
        <item x="37"/>
        <item x="35"/>
        <item x="42"/>
        <item x="15"/>
        <item x="61"/>
        <item x="55"/>
        <item x="57"/>
        <item x="54"/>
        <item x="16"/>
        <item x="47"/>
        <item x="44"/>
        <item x="39"/>
        <item x="49"/>
        <item x="14"/>
        <item x="43"/>
        <item x="13"/>
        <item x="24"/>
        <item x="30"/>
        <item x="28"/>
        <item x="22"/>
        <item x="21"/>
        <item x="23"/>
        <item x="8"/>
        <item x="20"/>
        <item x="0"/>
        <item x="3"/>
        <item x="18"/>
        <item x="11"/>
        <item x="51"/>
        <item x="52"/>
        <item x="53"/>
        <item x="19"/>
        <item x="45"/>
        <item x="38"/>
        <item x="36"/>
        <item x="40"/>
        <item x="33"/>
        <item x="26"/>
        <item x="2"/>
        <item x="4"/>
        <item x="27"/>
        <item x="34"/>
        <item x="31"/>
        <item x="60"/>
        <item x="6"/>
        <item t="default"/>
      </items>
    </pivotField>
    <pivotField showAll="0"/>
    <pivotField showAll="0"/>
    <pivotField dataField="1" showAll="0"/>
  </pivotFields>
  <rowFields count="1">
    <field x="3"/>
  </rowFields>
  <rowItems count="63">
    <i>
      <x v="41"/>
    </i>
    <i>
      <x v="39"/>
    </i>
    <i>
      <x v="42"/>
    </i>
    <i>
      <x v="55"/>
    </i>
    <i>
      <x v="40"/>
    </i>
    <i>
      <x v="6"/>
    </i>
    <i>
      <x v="5"/>
    </i>
    <i>
      <x v="13"/>
    </i>
    <i>
      <x v="43"/>
    </i>
    <i>
      <x v="15"/>
    </i>
    <i>
      <x v="44"/>
    </i>
    <i>
      <x v="36"/>
    </i>
    <i>
      <x v="56"/>
    </i>
    <i>
      <x v="38"/>
    </i>
    <i>
      <x v="30"/>
    </i>
    <i>
      <x v="46"/>
    </i>
    <i>
      <x v="4"/>
    </i>
    <i>
      <x v="54"/>
    </i>
    <i>
      <x v="16"/>
    </i>
    <i>
      <x v="10"/>
    </i>
    <i>
      <x v="17"/>
    </i>
    <i>
      <x v="50"/>
    </i>
    <i>
      <x v="18"/>
    </i>
    <i>
      <x v="58"/>
    </i>
    <i>
      <x v="19"/>
    </i>
    <i>
      <x v="8"/>
    </i>
    <i>
      <x v="20"/>
    </i>
    <i>
      <x v="12"/>
    </i>
    <i>
      <x v="21"/>
    </i>
    <i>
      <x v="48"/>
    </i>
    <i>
      <x v="22"/>
    </i>
    <i>
      <x v="52"/>
    </i>
    <i>
      <x v="23"/>
    </i>
    <i>
      <x v="14"/>
    </i>
    <i>
      <x v="24"/>
    </i>
    <i>
      <x v="60"/>
    </i>
    <i>
      <x v="25"/>
    </i>
    <i>
      <x v="7"/>
    </i>
    <i>
      <x v="26"/>
    </i>
    <i>
      <x v="9"/>
    </i>
    <i>
      <x v="27"/>
    </i>
    <i>
      <x v="11"/>
    </i>
    <i>
      <x v="28"/>
    </i>
    <i>
      <x v="45"/>
    </i>
    <i>
      <x v="29"/>
    </i>
    <i>
      <x v="47"/>
    </i>
    <i>
      <x/>
    </i>
    <i>
      <x v="49"/>
    </i>
    <i>
      <x v="31"/>
    </i>
    <i>
      <x v="51"/>
    </i>
    <i>
      <x v="32"/>
    </i>
    <i>
      <x v="53"/>
    </i>
    <i>
      <x v="33"/>
    </i>
    <i>
      <x v="3"/>
    </i>
    <i>
      <x v="34"/>
    </i>
    <i>
      <x v="57"/>
    </i>
    <i>
      <x v="35"/>
    </i>
    <i>
      <x v="59"/>
    </i>
    <i>
      <x v="1"/>
    </i>
    <i>
      <x v="61"/>
    </i>
    <i>
      <x v="37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Importance (x97)" fld="6" subtotal="average" baseField="3" baseItem="0"/>
    <dataField name="Frequency" fld="3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334DF-F57A-4EEC-85F3-08F0BDBFB821}" name="PivotTable1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avelength (nm)">
  <location ref="A2:C67" firstHeaderRow="0" firstDataRow="1" firstDataCol="1"/>
  <pivotFields count="7">
    <pivotField showAll="0"/>
    <pivotField showAll="0"/>
    <pivotField showAll="0"/>
    <pivotField axis="axisRow" dataField="1" showAll="0" sortType="descending">
      <items count="65">
        <item x="2"/>
        <item x="38"/>
        <item x="27"/>
        <item x="12"/>
        <item x="13"/>
        <item x="3"/>
        <item x="60"/>
        <item x="6"/>
        <item x="59"/>
        <item x="57"/>
        <item x="58"/>
        <item x="63"/>
        <item x="4"/>
        <item x="1"/>
        <item x="56"/>
        <item x="41"/>
        <item x="44"/>
        <item x="45"/>
        <item x="51"/>
        <item x="62"/>
        <item x="18"/>
        <item x="61"/>
        <item x="42"/>
        <item x="11"/>
        <item x="54"/>
        <item x="47"/>
        <item x="36"/>
        <item x="34"/>
        <item x="52"/>
        <item x="30"/>
        <item x="9"/>
        <item x="39"/>
        <item x="21"/>
        <item x="20"/>
        <item x="25"/>
        <item x="29"/>
        <item x="22"/>
        <item x="23"/>
        <item x="33"/>
        <item x="53"/>
        <item x="55"/>
        <item x="19"/>
        <item x="5"/>
        <item x="49"/>
        <item x="48"/>
        <item x="50"/>
        <item x="15"/>
        <item x="7"/>
        <item x="10"/>
        <item x="46"/>
        <item x="0"/>
        <item x="43"/>
        <item x="40"/>
        <item x="32"/>
        <item x="26"/>
        <item x="28"/>
        <item x="24"/>
        <item x="31"/>
        <item x="17"/>
        <item x="37"/>
        <item x="35"/>
        <item x="8"/>
        <item x="16"/>
        <item x="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</pivotFields>
  <rowFields count="1">
    <field x="3"/>
  </rowFields>
  <rowItems count="65">
    <i>
      <x v="56"/>
    </i>
    <i>
      <x v="48"/>
    </i>
    <i>
      <x v="46"/>
    </i>
    <i>
      <x v="12"/>
    </i>
    <i>
      <x v="54"/>
    </i>
    <i>
      <x v="20"/>
    </i>
    <i>
      <x v="38"/>
    </i>
    <i>
      <x v="33"/>
    </i>
    <i>
      <x v="47"/>
    </i>
    <i>
      <x v="34"/>
    </i>
    <i>
      <x v="53"/>
    </i>
    <i>
      <x v="35"/>
    </i>
    <i>
      <x v="55"/>
    </i>
    <i>
      <x v="36"/>
    </i>
    <i>
      <x v="37"/>
    </i>
    <i>
      <x v="29"/>
    </i>
    <i>
      <x v="10"/>
    </i>
    <i>
      <x v="39"/>
    </i>
    <i>
      <x v="14"/>
    </i>
    <i>
      <x v="17"/>
    </i>
    <i>
      <x v="43"/>
    </i>
    <i>
      <x v="18"/>
    </i>
    <i>
      <x v="51"/>
    </i>
    <i>
      <x v="19"/>
    </i>
    <i>
      <x v="59"/>
    </i>
    <i>
      <x v="2"/>
    </i>
    <i>
      <x v="41"/>
    </i>
    <i>
      <x v="21"/>
    </i>
    <i>
      <x v="45"/>
    </i>
    <i>
      <x v="22"/>
    </i>
    <i>
      <x v="49"/>
    </i>
    <i>
      <x v="23"/>
    </i>
    <i>
      <x v="1"/>
    </i>
    <i>
      <x v="24"/>
    </i>
    <i>
      <x v="57"/>
    </i>
    <i>
      <x v="25"/>
    </i>
    <i>
      <x v="8"/>
    </i>
    <i>
      <x v="26"/>
    </i>
    <i>
      <x v="40"/>
    </i>
    <i>
      <x v="27"/>
    </i>
    <i>
      <x v="42"/>
    </i>
    <i>
      <x v="28"/>
    </i>
    <i>
      <x v="44"/>
    </i>
    <i>
      <x v="60"/>
    </i>
    <i>
      <x v="9"/>
    </i>
    <i>
      <x v="61"/>
    </i>
    <i>
      <x v="11"/>
    </i>
    <i>
      <x v="63"/>
    </i>
    <i>
      <x v="50"/>
    </i>
    <i>
      <x v="32"/>
    </i>
    <i>
      <x v="52"/>
    </i>
    <i>
      <x v="3"/>
    </i>
    <i>
      <x v="13"/>
    </i>
    <i>
      <x v="4"/>
    </i>
    <i>
      <x v="15"/>
    </i>
    <i>
      <x v="5"/>
    </i>
    <i>
      <x v="58"/>
    </i>
    <i>
      <x v="6"/>
    </i>
    <i>
      <x v="16"/>
    </i>
    <i>
      <x v="7"/>
    </i>
    <i>
      <x v="62"/>
    </i>
    <i>
      <x v="30"/>
    </i>
    <i>
      <x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Importance (x97)" fld="6" subtotal="average" baseField="3" baseItem="0"/>
    <dataField name="Frequency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2BB0D-CF64-4E9A-80C2-5078FC3AE99E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:I153" firstHeaderRow="1" firstDataRow="1" firstDataCol="1"/>
  <pivotFields count="6"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axis="axisRow" dataField="1" showAll="0" sortType="descending">
      <items count="71">
        <item x="51"/>
        <item x="59"/>
        <item x="23"/>
        <item x="45"/>
        <item x="25"/>
        <item x="47"/>
        <item x="33"/>
        <item x="17"/>
        <item x="38"/>
        <item x="1"/>
        <item x="11"/>
        <item x="36"/>
        <item x="57"/>
        <item x="55"/>
        <item x="65"/>
        <item x="9"/>
        <item x="5"/>
        <item x="37"/>
        <item x="67"/>
        <item x="31"/>
        <item x="29"/>
        <item x="52"/>
        <item x="26"/>
        <item x="40"/>
        <item x="69"/>
        <item x="64"/>
        <item x="66"/>
        <item x="63"/>
        <item x="41"/>
        <item x="56"/>
        <item x="54"/>
        <item x="50"/>
        <item x="16"/>
        <item x="58"/>
        <item x="30"/>
        <item x="53"/>
        <item x="39"/>
        <item x="43"/>
        <item x="12"/>
        <item x="7"/>
        <item x="21"/>
        <item x="20"/>
        <item x="19"/>
        <item x="18"/>
        <item x="14"/>
        <item x="6"/>
        <item x="2"/>
        <item x="0"/>
        <item x="3"/>
        <item x="8"/>
        <item x="60"/>
        <item x="61"/>
        <item x="62"/>
        <item x="24"/>
        <item x="42"/>
        <item x="13"/>
        <item x="34"/>
        <item x="27"/>
        <item x="28"/>
        <item x="32"/>
        <item x="48"/>
        <item x="44"/>
        <item x="10"/>
        <item x="4"/>
        <item x="15"/>
        <item x="22"/>
        <item x="49"/>
        <item x="46"/>
        <item x="68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4"/>
    <field x="2"/>
  </rowFields>
  <rowItems count="152">
    <i>
      <x v="47"/>
    </i>
    <i r="1">
      <x/>
    </i>
    <i r="1">
      <x v="1"/>
    </i>
    <i>
      <x v="46"/>
    </i>
    <i r="1">
      <x/>
    </i>
    <i r="1">
      <x v="1"/>
    </i>
    <i>
      <x v="63"/>
    </i>
    <i r="1">
      <x/>
    </i>
    <i r="1">
      <x v="1"/>
    </i>
    <i>
      <x v="44"/>
    </i>
    <i r="1">
      <x/>
    </i>
    <i r="1">
      <x v="1"/>
    </i>
    <i>
      <x v="49"/>
    </i>
    <i r="1">
      <x/>
    </i>
    <i r="1">
      <x v="1"/>
    </i>
    <i>
      <x v="48"/>
    </i>
    <i r="1">
      <x/>
    </i>
    <i r="1">
      <x v="1"/>
    </i>
    <i>
      <x v="43"/>
    </i>
    <i r="1">
      <x v="1"/>
    </i>
    <i>
      <x v="64"/>
    </i>
    <i r="1">
      <x/>
    </i>
    <i r="1">
      <x v="1"/>
    </i>
    <i>
      <x v="7"/>
    </i>
    <i r="1">
      <x/>
    </i>
    <i>
      <x v="15"/>
    </i>
    <i r="1">
      <x/>
    </i>
    <i r="1">
      <x v="1"/>
    </i>
    <i>
      <x v="45"/>
    </i>
    <i r="1">
      <x/>
    </i>
    <i r="1">
      <x v="1"/>
    </i>
    <i>
      <x v="34"/>
    </i>
    <i r="1">
      <x/>
    </i>
    <i>
      <x v="57"/>
    </i>
    <i r="1">
      <x/>
    </i>
    <i>
      <x v="6"/>
    </i>
    <i r="1">
      <x/>
    </i>
    <i>
      <x v="4"/>
    </i>
    <i r="1">
      <x v="1"/>
    </i>
    <i>
      <x v="16"/>
    </i>
    <i r="1">
      <x/>
    </i>
    <i r="1">
      <x v="1"/>
    </i>
    <i>
      <x v="9"/>
    </i>
    <i r="1">
      <x/>
    </i>
    <i>
      <x v="20"/>
    </i>
    <i r="1">
      <x/>
    </i>
    <i>
      <x v="58"/>
    </i>
    <i r="1">
      <x/>
    </i>
    <i>
      <x v="38"/>
    </i>
    <i r="1">
      <x/>
    </i>
    <i r="1">
      <x v="1"/>
    </i>
    <i>
      <x v="41"/>
    </i>
    <i r="1">
      <x v="1"/>
    </i>
    <i>
      <x v="59"/>
    </i>
    <i r="1">
      <x/>
    </i>
    <i>
      <x v="17"/>
    </i>
    <i r="1">
      <x/>
    </i>
    <i>
      <x v="56"/>
    </i>
    <i r="1">
      <x/>
    </i>
    <i>
      <x v="19"/>
    </i>
    <i r="1">
      <x/>
    </i>
    <i>
      <x v="65"/>
    </i>
    <i r="1">
      <x v="1"/>
    </i>
    <i>
      <x v="2"/>
    </i>
    <i r="1">
      <x v="1"/>
    </i>
    <i>
      <x v="42"/>
    </i>
    <i r="1">
      <x v="1"/>
    </i>
    <i>
      <x v="32"/>
    </i>
    <i r="1">
      <x/>
    </i>
    <i>
      <x v="40"/>
    </i>
    <i r="1">
      <x v="1"/>
    </i>
    <i>
      <x v="61"/>
    </i>
    <i r="1">
      <x v="1"/>
    </i>
    <i>
      <x v="53"/>
    </i>
    <i r="1">
      <x v="1"/>
    </i>
    <i>
      <x v="69"/>
    </i>
    <i r="1">
      <x/>
    </i>
    <i>
      <x v="31"/>
    </i>
    <i r="1">
      <x/>
    </i>
    <i>
      <x v="26"/>
    </i>
    <i r="1">
      <x v="1"/>
    </i>
    <i>
      <x v="18"/>
    </i>
    <i r="1">
      <x v="1"/>
    </i>
    <i>
      <x v="29"/>
    </i>
    <i r="1">
      <x/>
    </i>
    <i>
      <x v="33"/>
    </i>
    <i r="1">
      <x/>
    </i>
    <i>
      <x v="51"/>
    </i>
    <i r="1">
      <x v="1"/>
    </i>
    <i>
      <x/>
    </i>
    <i r="1">
      <x/>
    </i>
    <i>
      <x v="55"/>
    </i>
    <i r="1">
      <x/>
    </i>
    <i>
      <x v="35"/>
    </i>
    <i r="1">
      <x/>
    </i>
    <i>
      <x v="28"/>
    </i>
    <i r="1">
      <x/>
    </i>
    <i>
      <x v="36"/>
    </i>
    <i r="1">
      <x/>
    </i>
    <i>
      <x v="10"/>
    </i>
    <i r="1">
      <x/>
    </i>
    <i>
      <x v="37"/>
    </i>
    <i r="1">
      <x v="1"/>
    </i>
    <i>
      <x v="67"/>
    </i>
    <i r="1">
      <x v="1"/>
    </i>
    <i>
      <x v="14"/>
    </i>
    <i r="1">
      <x v="1"/>
    </i>
    <i>
      <x v="50"/>
    </i>
    <i r="1">
      <x v="1"/>
    </i>
    <i>
      <x v="39"/>
    </i>
    <i r="1">
      <x/>
    </i>
    <i>
      <x v="52"/>
    </i>
    <i r="1">
      <x v="1"/>
    </i>
    <i>
      <x v="12"/>
    </i>
    <i r="1">
      <x/>
    </i>
    <i>
      <x v="54"/>
    </i>
    <i r="1">
      <x/>
    </i>
    <i>
      <x v="13"/>
    </i>
    <i r="1">
      <x/>
    </i>
    <i>
      <x v="25"/>
    </i>
    <i r="1">
      <x v="1"/>
    </i>
    <i>
      <x v="21"/>
    </i>
    <i r="1">
      <x/>
    </i>
    <i>
      <x v="27"/>
    </i>
    <i r="1">
      <x v="1"/>
    </i>
    <i>
      <x v="3"/>
    </i>
    <i r="1">
      <x v="1"/>
    </i>
    <i>
      <x v="60"/>
    </i>
    <i r="1">
      <x v="1"/>
    </i>
    <i>
      <x v="22"/>
    </i>
    <i r="1">
      <x v="1"/>
    </i>
    <i>
      <x v="62"/>
    </i>
    <i r="1">
      <x/>
    </i>
    <i>
      <x v="5"/>
    </i>
    <i r="1">
      <x v="1"/>
    </i>
    <i>
      <x v="11"/>
    </i>
    <i r="1">
      <x/>
    </i>
    <i>
      <x v="23"/>
    </i>
    <i r="1">
      <x/>
    </i>
    <i>
      <x v="66"/>
    </i>
    <i r="1">
      <x v="1"/>
    </i>
    <i>
      <x v="1"/>
    </i>
    <i r="1">
      <x/>
    </i>
    <i>
      <x v="68"/>
    </i>
    <i r="1">
      <x v="1"/>
    </i>
    <i>
      <x v="8"/>
    </i>
    <i r="1">
      <x/>
    </i>
    <i>
      <x v="30"/>
    </i>
    <i r="1">
      <x/>
    </i>
    <i>
      <x v="24"/>
    </i>
    <i r="1">
      <x v="1"/>
    </i>
    <i t="grand">
      <x/>
    </i>
  </rowItems>
  <colItems count="1">
    <i/>
  </colItems>
  <dataFields count="1">
    <dataField name="Count of Wavelength" fld="4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79A8F-E388-4FBA-B50B-7093C60D56C7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Wavelength (nm)">
  <location ref="H1:I39" firstHeaderRow="1" firstDataRow="1" firstDataCol="1"/>
  <pivotFields count="6">
    <pivotField showAll="0"/>
    <pivotField showAll="0"/>
    <pivotField showAll="0"/>
    <pivotField showAll="0"/>
    <pivotField axis="axisRow" dataField="1" showAll="0" sortType="descending">
      <items count="38">
        <item x="35"/>
        <item x="21"/>
        <item x="24"/>
        <item x="10"/>
        <item x="8"/>
        <item x="11"/>
        <item x="19"/>
        <item x="23"/>
        <item x="13"/>
        <item x="28"/>
        <item x="27"/>
        <item x="25"/>
        <item x="17"/>
        <item x="7"/>
        <item x="4"/>
        <item x="1"/>
        <item x="5"/>
        <item x="3"/>
        <item x="0"/>
        <item x="2"/>
        <item x="6"/>
        <item x="9"/>
        <item x="14"/>
        <item x="18"/>
        <item x="29"/>
        <item x="32"/>
        <item x="30"/>
        <item x="36"/>
        <item x="16"/>
        <item x="34"/>
        <item x="33"/>
        <item x="26"/>
        <item x="31"/>
        <item x="22"/>
        <item x="15"/>
        <item x="2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38">
    <i>
      <x v="17"/>
    </i>
    <i>
      <x v="15"/>
    </i>
    <i>
      <x v="14"/>
    </i>
    <i>
      <x v="18"/>
    </i>
    <i>
      <x v="13"/>
    </i>
    <i>
      <x v="34"/>
    </i>
    <i>
      <x v="16"/>
    </i>
    <i>
      <x v="5"/>
    </i>
    <i>
      <x v="12"/>
    </i>
    <i>
      <x v="20"/>
    </i>
    <i>
      <x v="4"/>
    </i>
    <i>
      <x v="36"/>
    </i>
    <i>
      <x v="21"/>
    </i>
    <i>
      <x v="3"/>
    </i>
    <i>
      <x v="19"/>
    </i>
    <i>
      <x v="22"/>
    </i>
    <i>
      <x v="31"/>
    </i>
    <i>
      <x v="27"/>
    </i>
    <i>
      <x v="35"/>
    </i>
    <i>
      <x v="11"/>
    </i>
    <i>
      <x v="29"/>
    </i>
    <i>
      <x/>
    </i>
    <i>
      <x v="33"/>
    </i>
    <i>
      <x v="6"/>
    </i>
    <i>
      <x v="26"/>
    </i>
    <i>
      <x v="7"/>
    </i>
    <i>
      <x v="28"/>
    </i>
    <i>
      <x v="1"/>
    </i>
    <i>
      <x v="30"/>
    </i>
    <i>
      <x v="2"/>
    </i>
    <i>
      <x v="32"/>
    </i>
    <i>
      <x v="10"/>
    </i>
    <i>
      <x v="9"/>
    </i>
    <i>
      <x v="24"/>
    </i>
    <i>
      <x v="8"/>
    </i>
    <i>
      <x v="25"/>
    </i>
    <i>
      <x v="23"/>
    </i>
    <i t="grand">
      <x/>
    </i>
  </rowItems>
  <colItems count="1">
    <i/>
  </colItems>
  <dataFields count="1">
    <dataField name="Frequency" fld="4" subtotal="count" baseField="4" baseItem="1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BA5B1-C71E-479F-82C2-623F4F319C82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R19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65402-A9B4-47FB-A17C-1223BE47EA8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8:M106" firstHeaderRow="0" firstDataRow="1" firstDataCol="1"/>
  <pivotFields count="7">
    <pivotField showAll="0"/>
    <pivotField showAll="0"/>
    <pivotField showAll="0"/>
    <pivotField axis="axisRow" dataField="1" showAll="0" sortType="descending">
      <items count="100">
        <item m="1" x="98"/>
        <item x="12"/>
        <item x="13"/>
        <item x="34"/>
        <item x="24"/>
        <item x="28"/>
        <item x="3"/>
        <item x="21"/>
        <item x="25"/>
        <item x="6"/>
        <item x="4"/>
        <item x="1"/>
        <item x="27"/>
        <item x="32"/>
        <item x="18"/>
        <item x="11"/>
        <item x="33"/>
        <item x="31"/>
        <item x="30"/>
        <item x="9"/>
        <item x="26"/>
        <item x="20"/>
        <item x="22"/>
        <item x="35"/>
        <item x="29"/>
        <item x="19"/>
        <item x="5"/>
        <item x="15"/>
        <item x="7"/>
        <item x="10"/>
        <item x="0"/>
        <item x="17"/>
        <item x="23"/>
        <item x="8"/>
        <item x="16"/>
        <item x="14"/>
        <item x="2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97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</pivotFields>
  <rowFields count="1">
    <field x="3"/>
  </rowFields>
  <rowItems count="98">
    <i>
      <x v="21"/>
    </i>
    <i>
      <x v="22"/>
    </i>
    <i>
      <x v="20"/>
    </i>
    <i>
      <x v="10"/>
    </i>
    <i>
      <x v="37"/>
    </i>
    <i>
      <x v="43"/>
    </i>
    <i>
      <x v="23"/>
    </i>
    <i>
      <x v="12"/>
    </i>
    <i>
      <x v="40"/>
    </i>
    <i>
      <x v="52"/>
    </i>
    <i>
      <x v="24"/>
    </i>
    <i>
      <x v="42"/>
    </i>
    <i>
      <x v="27"/>
    </i>
    <i>
      <x v="46"/>
    </i>
    <i>
      <x v="14"/>
    </i>
    <i>
      <x v="39"/>
    </i>
    <i>
      <x v="31"/>
    </i>
    <i>
      <x v="63"/>
    </i>
    <i>
      <x v="50"/>
    </i>
    <i>
      <x v="29"/>
    </i>
    <i>
      <x v="33"/>
    </i>
    <i>
      <x v="60"/>
    </i>
    <i>
      <x v="3"/>
    </i>
    <i>
      <x v="84"/>
    </i>
    <i>
      <x v="38"/>
    </i>
    <i>
      <x v="48"/>
    </i>
    <i>
      <x v="17"/>
    </i>
    <i>
      <x v="79"/>
    </i>
    <i>
      <x v="11"/>
    </i>
    <i>
      <x v="61"/>
    </i>
    <i>
      <x v="4"/>
    </i>
    <i>
      <x v="64"/>
    </i>
    <i>
      <x v="28"/>
    </i>
    <i>
      <x v="44"/>
    </i>
    <i>
      <x v="32"/>
    </i>
    <i>
      <x v="49"/>
    </i>
    <i>
      <x v="68"/>
    </i>
    <i>
      <x v="85"/>
    </i>
    <i>
      <x v="76"/>
    </i>
    <i>
      <x v="2"/>
    </i>
    <i>
      <x v="93"/>
    </i>
    <i>
      <x v="5"/>
    </i>
    <i>
      <x v="72"/>
    </i>
    <i>
      <x v="6"/>
    </i>
    <i>
      <x v="80"/>
    </i>
    <i>
      <x v="41"/>
    </i>
    <i>
      <x v="89"/>
    </i>
    <i>
      <x v="13"/>
    </i>
    <i>
      <x v="97"/>
    </i>
    <i>
      <x v="25"/>
    </i>
    <i>
      <x v="70"/>
    </i>
    <i>
      <x v="26"/>
    </i>
    <i>
      <x v="74"/>
    </i>
    <i>
      <x v="45"/>
    </i>
    <i>
      <x v="78"/>
    </i>
    <i>
      <x v="7"/>
    </i>
    <i>
      <x v="83"/>
    </i>
    <i>
      <x v="47"/>
    </i>
    <i>
      <x v="87"/>
    </i>
    <i>
      <x v="15"/>
    </i>
    <i>
      <x v="91"/>
    </i>
    <i>
      <x v="1"/>
    </i>
    <i>
      <x v="95"/>
    </i>
    <i>
      <x v="16"/>
    </i>
    <i>
      <x v="9"/>
    </i>
    <i>
      <x v="51"/>
    </i>
    <i>
      <x v="69"/>
    </i>
    <i>
      <x v="30"/>
    </i>
    <i>
      <x v="71"/>
    </i>
    <i>
      <x v="53"/>
    </i>
    <i>
      <x v="73"/>
    </i>
    <i>
      <x v="54"/>
    </i>
    <i>
      <x v="75"/>
    </i>
    <i>
      <x v="55"/>
    </i>
    <i>
      <x v="77"/>
    </i>
    <i>
      <x v="56"/>
    </i>
    <i>
      <x v="35"/>
    </i>
    <i>
      <x v="57"/>
    </i>
    <i>
      <x v="82"/>
    </i>
    <i>
      <x v="58"/>
    </i>
    <i>
      <x v="36"/>
    </i>
    <i>
      <x v="59"/>
    </i>
    <i>
      <x v="86"/>
    </i>
    <i>
      <x v="8"/>
    </i>
    <i>
      <x v="88"/>
    </i>
    <i>
      <x v="18"/>
    </i>
    <i>
      <x v="90"/>
    </i>
    <i>
      <x v="62"/>
    </i>
    <i>
      <x v="92"/>
    </i>
    <i>
      <x v="19"/>
    </i>
    <i>
      <x v="94"/>
    </i>
    <i>
      <x v="34"/>
    </i>
    <i>
      <x v="96"/>
    </i>
    <i>
      <x v="65"/>
    </i>
    <i>
      <x v="98"/>
    </i>
    <i>
      <x v="66"/>
    </i>
    <i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x97" fld="6" subtotal="average" baseField="1" baseItem="0"/>
    <dataField name="Count of Wavelength (nm)" fld="3" subtotal="countNums" baseField="1" baseItem="3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1482D-8892-4B53-8C88-3B34D6948CB5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avelength (nm)">
  <location ref="F2:G161" firstHeaderRow="1" firstDataRow="1" firstDataCol="1"/>
  <pivotFields count="3">
    <pivotField showAll="0"/>
    <pivotField axis="axisRow" dataField="1" showAll="0" sortType="descending">
      <items count="87">
        <item m="1" x="84"/>
        <item m="1" x="85"/>
        <item x="56"/>
        <item x="15"/>
        <item x="11"/>
        <item x="12"/>
        <item x="8"/>
        <item x="6"/>
        <item x="9"/>
        <item x="14"/>
        <item m="1" x="83"/>
        <item x="0"/>
        <item x="1"/>
        <item x="2"/>
        <item x="3"/>
        <item x="4"/>
        <item x="5"/>
        <item x="7"/>
        <item x="10"/>
        <item x="13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48"/>
        <item x="54"/>
        <item x="75"/>
        <item m="1" x="80"/>
        <item x="73"/>
        <item m="1" x="81"/>
        <item m="1" x="82"/>
        <item x="36"/>
        <item x="37"/>
        <item x="38"/>
        <item x="39"/>
        <item x="40"/>
        <item x="41"/>
        <item m="1" x="79"/>
        <item x="42"/>
        <item x="43"/>
        <item x="44"/>
        <item x="45"/>
        <item x="46"/>
        <item x="47"/>
        <item x="49"/>
        <item x="50"/>
        <item x="51"/>
        <item x="52"/>
        <item x="53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4"/>
        <item x="76"/>
        <item x="77"/>
        <item x="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5">
        <item x="0"/>
        <item x="1"/>
        <item x="2"/>
        <item x="3"/>
        <item x="4"/>
        <item x="5"/>
        <item x="48"/>
        <item x="14"/>
        <item x="54"/>
        <item x="9"/>
        <item m="1" x="83"/>
        <item x="6"/>
        <item x="7"/>
        <item x="8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75"/>
        <item m="1" x="80"/>
        <item x="73"/>
        <item m="1" x="81"/>
        <item m="1" x="82"/>
        <item x="36"/>
        <item x="37"/>
        <item x="38"/>
        <item x="39"/>
        <item x="40"/>
        <item x="41"/>
        <item m="1" x="79"/>
        <item x="42"/>
        <item x="43"/>
        <item x="44"/>
        <item x="45"/>
        <item x="46"/>
        <item x="47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4"/>
        <item x="76"/>
        <item x="77"/>
        <item x="78"/>
        <item t="default"/>
      </items>
    </pivotField>
  </pivotFields>
  <rowFields count="2">
    <field x="1"/>
    <field x="2"/>
  </rowFields>
  <rowItems count="159">
    <i>
      <x v="7"/>
    </i>
    <i r="1">
      <x v="11"/>
    </i>
    <i>
      <x v="6"/>
    </i>
    <i r="1">
      <x v="13"/>
    </i>
    <i>
      <x v="24"/>
    </i>
    <i r="1">
      <x v="23"/>
    </i>
    <i>
      <x v="5"/>
    </i>
    <i r="1">
      <x v="16"/>
    </i>
    <i>
      <x v="8"/>
    </i>
    <i r="1">
      <x v="9"/>
    </i>
    <i>
      <x v="28"/>
    </i>
    <i r="1">
      <x v="27"/>
    </i>
    <i>
      <x v="33"/>
    </i>
    <i r="1">
      <x v="32"/>
    </i>
    <i>
      <x v="29"/>
    </i>
    <i r="1">
      <x v="28"/>
    </i>
    <i>
      <x v="22"/>
    </i>
    <i r="1">
      <x v="21"/>
    </i>
    <i>
      <x v="31"/>
    </i>
    <i r="1">
      <x v="30"/>
    </i>
    <i>
      <x v="35"/>
    </i>
    <i r="1">
      <x v="34"/>
    </i>
    <i>
      <x v="11"/>
    </i>
    <i r="1">
      <x/>
    </i>
    <i>
      <x v="18"/>
    </i>
    <i r="1">
      <x v="14"/>
    </i>
    <i>
      <x v="32"/>
    </i>
    <i r="1">
      <x v="31"/>
    </i>
    <i>
      <x v="13"/>
    </i>
    <i r="1">
      <x v="2"/>
    </i>
    <i>
      <x v="19"/>
    </i>
    <i r="1">
      <x v="17"/>
    </i>
    <i>
      <x v="4"/>
    </i>
    <i r="1">
      <x v="15"/>
    </i>
    <i>
      <x v="14"/>
    </i>
    <i r="1">
      <x v="3"/>
    </i>
    <i>
      <x v="9"/>
    </i>
    <i r="1">
      <x v="7"/>
    </i>
    <i>
      <x v="36"/>
    </i>
    <i r="1">
      <x v="35"/>
    </i>
    <i>
      <x v="25"/>
    </i>
    <i r="1">
      <x v="24"/>
    </i>
    <i>
      <x v="20"/>
    </i>
    <i r="1">
      <x v="19"/>
    </i>
    <i>
      <x v="3"/>
    </i>
    <i r="1">
      <x v="18"/>
    </i>
    <i>
      <x v="37"/>
    </i>
    <i r="1">
      <x v="36"/>
    </i>
    <i>
      <x v="62"/>
    </i>
    <i r="1">
      <x v="59"/>
    </i>
    <i>
      <x v="54"/>
    </i>
    <i r="1">
      <x v="51"/>
    </i>
    <i>
      <x v="70"/>
    </i>
    <i r="1">
      <x v="68"/>
    </i>
    <i>
      <x v="16"/>
    </i>
    <i r="1">
      <x v="5"/>
    </i>
    <i>
      <x v="58"/>
    </i>
    <i r="1">
      <x v="55"/>
    </i>
    <i>
      <x v="21"/>
    </i>
    <i r="1">
      <x v="20"/>
    </i>
    <i>
      <x v="66"/>
    </i>
    <i r="1">
      <x v="64"/>
    </i>
    <i>
      <x v="30"/>
    </i>
    <i r="1">
      <x v="29"/>
    </i>
    <i>
      <x v="74"/>
    </i>
    <i r="1">
      <x v="72"/>
    </i>
    <i>
      <x v="17"/>
    </i>
    <i r="1">
      <x v="12"/>
    </i>
    <i>
      <x v="56"/>
    </i>
    <i r="1">
      <x v="53"/>
    </i>
    <i>
      <x v="23"/>
    </i>
    <i r="1">
      <x v="22"/>
    </i>
    <i>
      <x v="60"/>
    </i>
    <i r="1">
      <x v="57"/>
    </i>
    <i>
      <x v="12"/>
    </i>
    <i r="1">
      <x v="1"/>
    </i>
    <i>
      <x v="64"/>
    </i>
    <i r="1">
      <x v="61"/>
    </i>
    <i>
      <x v="34"/>
    </i>
    <i r="1">
      <x v="33"/>
    </i>
    <i>
      <x v="68"/>
    </i>
    <i r="1">
      <x v="66"/>
    </i>
    <i>
      <x v="15"/>
    </i>
    <i r="1">
      <x v="4"/>
    </i>
    <i>
      <x v="72"/>
    </i>
    <i r="1">
      <x v="70"/>
    </i>
    <i>
      <x v="26"/>
    </i>
    <i r="1">
      <x v="25"/>
    </i>
    <i>
      <x v="76"/>
    </i>
    <i r="1">
      <x v="74"/>
    </i>
    <i>
      <x v="77"/>
    </i>
    <i r="1">
      <x v="75"/>
    </i>
    <i>
      <x v="55"/>
    </i>
    <i r="1">
      <x v="52"/>
    </i>
    <i>
      <x v="78"/>
    </i>
    <i r="1">
      <x v="76"/>
    </i>
    <i>
      <x v="57"/>
    </i>
    <i r="1">
      <x v="54"/>
    </i>
    <i>
      <x v="80"/>
    </i>
    <i r="1">
      <x v="78"/>
    </i>
    <i>
      <x v="59"/>
    </i>
    <i r="1">
      <x v="56"/>
    </i>
    <i>
      <x v="82"/>
    </i>
    <i r="1">
      <x v="80"/>
    </i>
    <i>
      <x v="61"/>
    </i>
    <i r="1">
      <x v="58"/>
    </i>
    <i>
      <x v="84"/>
    </i>
    <i r="1">
      <x v="82"/>
    </i>
    <i>
      <x v="63"/>
    </i>
    <i r="1">
      <x v="60"/>
    </i>
    <i>
      <x v="2"/>
    </i>
    <i r="1">
      <x v="63"/>
    </i>
    <i>
      <x v="65"/>
    </i>
    <i r="1">
      <x v="62"/>
    </i>
    <i>
      <x v="44"/>
    </i>
    <i r="1">
      <x v="41"/>
    </i>
    <i>
      <x v="67"/>
    </i>
    <i r="1">
      <x v="65"/>
    </i>
    <i>
      <x v="47"/>
    </i>
    <i r="1">
      <x v="44"/>
    </i>
    <i>
      <x v="69"/>
    </i>
    <i r="1">
      <x v="67"/>
    </i>
    <i>
      <x v="48"/>
    </i>
    <i r="1">
      <x v="45"/>
    </i>
    <i>
      <x v="71"/>
    </i>
    <i r="1">
      <x v="69"/>
    </i>
    <i>
      <x v="49"/>
    </i>
    <i r="1">
      <x v="46"/>
    </i>
    <i>
      <x v="73"/>
    </i>
    <i r="1">
      <x v="71"/>
    </i>
    <i>
      <x v="50"/>
    </i>
    <i r="1">
      <x v="47"/>
    </i>
    <i>
      <x v="75"/>
    </i>
    <i r="1">
      <x v="73"/>
    </i>
    <i>
      <x v="51"/>
    </i>
    <i r="1">
      <x v="48"/>
    </i>
    <i>
      <x v="27"/>
    </i>
    <i r="1">
      <x v="26"/>
    </i>
    <i>
      <x v="52"/>
    </i>
    <i r="1">
      <x v="49"/>
    </i>
    <i>
      <x v="79"/>
    </i>
    <i r="1">
      <x v="77"/>
    </i>
    <i>
      <x v="38"/>
    </i>
    <i r="1">
      <x v="37"/>
    </i>
    <i>
      <x v="81"/>
    </i>
    <i r="1">
      <x v="79"/>
    </i>
    <i>
      <x v="39"/>
    </i>
    <i r="1">
      <x v="38"/>
    </i>
    <i>
      <x v="83"/>
    </i>
    <i r="1">
      <x v="81"/>
    </i>
    <i>
      <x v="40"/>
    </i>
    <i r="1">
      <x v="6"/>
    </i>
    <i>
      <x v="85"/>
    </i>
    <i r="1">
      <x v="83"/>
    </i>
    <i>
      <x v="41"/>
    </i>
    <i r="1">
      <x v="8"/>
    </i>
    <i>
      <x v="42"/>
    </i>
    <i r="1">
      <x v="39"/>
    </i>
    <i t="grand">
      <x/>
    </i>
  </rowItems>
  <colItems count="1">
    <i/>
  </colItems>
  <dataFields count="1">
    <dataField name="Count of Wavelength" fld="1" subtotal="countNums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4194C-1D08-4523-B957-DA714826A176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58" firstHeaderRow="1" firstDataRow="1" firstDataCol="1"/>
  <pivotFields count="3">
    <pivotField showAll="0"/>
    <pivotField axis="axisRow" dataField="1" showAll="0" sortType="descending">
      <items count="36">
        <item m="1" x="33"/>
        <item m="1" x="32"/>
        <item m="1" x="34"/>
        <item x="7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0"/>
        <item x="1"/>
        <item x="2"/>
        <item x="18"/>
        <item x="24"/>
        <item m="1" x="28"/>
        <item m="1" x="29"/>
        <item m="1" x="30"/>
        <item m="1" x="31"/>
        <item x="19"/>
        <item x="20"/>
        <item x="21"/>
        <item x="22"/>
        <item x="23"/>
        <item x="25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4"/>
        <item m="1" x="28"/>
        <item m="1" x="29"/>
        <item m="1" x="30"/>
        <item m="1" x="31"/>
        <item x="19"/>
        <item x="20"/>
        <item x="21"/>
        <item x="22"/>
        <item x="23"/>
        <item x="25"/>
        <item x="26"/>
        <item x="27"/>
        <item t="default"/>
      </items>
    </pivotField>
  </pivotFields>
  <rowFields count="2">
    <field x="1"/>
    <field x="2"/>
  </rowFields>
  <rowItems count="57">
    <i>
      <x v="15"/>
    </i>
    <i r="1">
      <x v="15"/>
    </i>
    <i>
      <x v="11"/>
    </i>
    <i r="1">
      <x v="11"/>
    </i>
    <i>
      <x v="22"/>
    </i>
    <i r="1">
      <x v="19"/>
    </i>
    <i>
      <x v="4"/>
    </i>
    <i r="1">
      <x v="3"/>
    </i>
    <i>
      <x v="14"/>
    </i>
    <i r="1">
      <x v="14"/>
    </i>
    <i>
      <x v="6"/>
    </i>
    <i r="1">
      <x v="5"/>
    </i>
    <i>
      <x v="29"/>
    </i>
    <i r="1">
      <x v="26"/>
    </i>
    <i>
      <x v="10"/>
    </i>
    <i r="1">
      <x v="10"/>
    </i>
    <i>
      <x v="16"/>
    </i>
    <i r="1">
      <x v="16"/>
    </i>
    <i>
      <x v="31"/>
    </i>
    <i r="1">
      <x v="28"/>
    </i>
    <i>
      <x v="27"/>
    </i>
    <i r="1">
      <x v="24"/>
    </i>
    <i>
      <x v="12"/>
    </i>
    <i r="1">
      <x v="12"/>
    </i>
    <i>
      <x v="13"/>
    </i>
    <i r="1">
      <x v="13"/>
    </i>
    <i>
      <x v="7"/>
    </i>
    <i r="1">
      <x v="6"/>
    </i>
    <i>
      <x v="8"/>
    </i>
    <i r="1">
      <x v="8"/>
    </i>
    <i>
      <x v="33"/>
    </i>
    <i r="1">
      <x v="30"/>
    </i>
    <i>
      <x v="9"/>
    </i>
    <i r="1">
      <x v="9"/>
    </i>
    <i>
      <x v="5"/>
    </i>
    <i r="1">
      <x v="4"/>
    </i>
    <i>
      <x v="3"/>
    </i>
    <i r="1">
      <x v="7"/>
    </i>
    <i>
      <x v="28"/>
    </i>
    <i r="1">
      <x v="25"/>
    </i>
    <i>
      <x v="17"/>
    </i>
    <i r="1">
      <x v="17"/>
    </i>
    <i>
      <x v="30"/>
    </i>
    <i r="1">
      <x v="27"/>
    </i>
    <i>
      <x v="18"/>
    </i>
    <i r="1">
      <x/>
    </i>
    <i>
      <x v="32"/>
    </i>
    <i r="1">
      <x v="29"/>
    </i>
    <i>
      <x v="19"/>
    </i>
    <i r="1">
      <x v="1"/>
    </i>
    <i>
      <x v="34"/>
    </i>
    <i r="1">
      <x v="31"/>
    </i>
    <i>
      <x v="20"/>
    </i>
    <i r="1">
      <x v="2"/>
    </i>
    <i>
      <x v="21"/>
    </i>
    <i r="1">
      <x v="18"/>
    </i>
    <i t="grand">
      <x/>
    </i>
  </rowItems>
  <colItems count="1">
    <i/>
  </colItems>
  <dataFields count="1">
    <dataField name="Count of Wavelength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7148-57CA-456A-A785-38FEF3E31095}">
  <dimension ref="A2:C324"/>
  <sheetViews>
    <sheetView tabSelected="1" zoomScale="108" workbookViewId="0">
      <selection activeCell="A4" sqref="A4"/>
    </sheetView>
  </sheetViews>
  <sheetFormatPr defaultRowHeight="15" x14ac:dyDescent="0.25"/>
  <cols>
    <col min="1" max="1" width="17.140625" bestFit="1" customWidth="1"/>
    <col min="2" max="2" width="25.140625" bestFit="1" customWidth="1"/>
    <col min="3" max="3" width="81.5703125" customWidth="1"/>
  </cols>
  <sheetData>
    <row r="2" spans="1:3" x14ac:dyDescent="0.25">
      <c r="A2" s="10" t="s">
        <v>15</v>
      </c>
      <c r="B2" t="s">
        <v>19</v>
      </c>
      <c r="C2" s="13" t="s">
        <v>38</v>
      </c>
    </row>
    <row r="3" spans="1:3" x14ac:dyDescent="0.25">
      <c r="A3" s="11">
        <v>2160.0001579999998</v>
      </c>
      <c r="B3">
        <v>11</v>
      </c>
      <c r="C3" t="s">
        <v>39</v>
      </c>
    </row>
    <row r="4" spans="1:3" x14ac:dyDescent="0.25">
      <c r="A4" s="12" t="s">
        <v>36</v>
      </c>
      <c r="B4">
        <v>4</v>
      </c>
    </row>
    <row r="5" spans="1:3" x14ac:dyDescent="0.25">
      <c r="A5" s="12" t="s">
        <v>35</v>
      </c>
      <c r="B5">
        <v>2</v>
      </c>
    </row>
    <row r="6" spans="1:3" x14ac:dyDescent="0.25">
      <c r="A6" s="12" t="s">
        <v>37</v>
      </c>
      <c r="B6">
        <v>5</v>
      </c>
    </row>
    <row r="7" spans="1:3" x14ac:dyDescent="0.25">
      <c r="A7" s="11">
        <v>2141.1080360000001</v>
      </c>
      <c r="B7">
        <v>11</v>
      </c>
      <c r="C7" t="s">
        <v>40</v>
      </c>
    </row>
    <row r="8" spans="1:3" x14ac:dyDescent="0.25">
      <c r="A8" s="12" t="s">
        <v>36</v>
      </c>
      <c r="B8">
        <v>4</v>
      </c>
    </row>
    <row r="9" spans="1:3" x14ac:dyDescent="0.25">
      <c r="A9" s="12" t="s">
        <v>35</v>
      </c>
      <c r="B9">
        <v>2</v>
      </c>
    </row>
    <row r="10" spans="1:3" x14ac:dyDescent="0.25">
      <c r="A10" s="12" t="s">
        <v>37</v>
      </c>
      <c r="B10">
        <v>5</v>
      </c>
    </row>
    <row r="11" spans="1:3" x14ac:dyDescent="0.25">
      <c r="A11" s="11">
        <v>2166.3718370000001</v>
      </c>
      <c r="B11">
        <v>10</v>
      </c>
      <c r="C11" t="s">
        <v>39</v>
      </c>
    </row>
    <row r="12" spans="1:3" x14ac:dyDescent="0.25">
      <c r="A12" s="12" t="s">
        <v>36</v>
      </c>
      <c r="B12">
        <v>4</v>
      </c>
    </row>
    <row r="13" spans="1:3" x14ac:dyDescent="0.25">
      <c r="A13" s="12" t="s">
        <v>35</v>
      </c>
      <c r="B13">
        <v>2</v>
      </c>
    </row>
    <row r="14" spans="1:3" x14ac:dyDescent="0.25">
      <c r="A14" s="12" t="s">
        <v>37</v>
      </c>
      <c r="B14">
        <v>4</v>
      </c>
    </row>
    <row r="15" spans="1:3" x14ac:dyDescent="0.25">
      <c r="A15" s="11">
        <v>2153.665849</v>
      </c>
      <c r="B15">
        <v>10</v>
      </c>
      <c r="C15" t="s">
        <v>39</v>
      </c>
    </row>
    <row r="16" spans="1:3" x14ac:dyDescent="0.25">
      <c r="A16" s="12" t="s">
        <v>36</v>
      </c>
      <c r="B16">
        <v>4</v>
      </c>
    </row>
    <row r="17" spans="1:3" x14ac:dyDescent="0.25">
      <c r="A17" s="12" t="s">
        <v>35</v>
      </c>
      <c r="B17">
        <v>1</v>
      </c>
    </row>
    <row r="18" spans="1:3" x14ac:dyDescent="0.25">
      <c r="A18" s="12" t="s">
        <v>37</v>
      </c>
      <c r="B18">
        <v>5</v>
      </c>
    </row>
    <row r="19" spans="1:3" x14ac:dyDescent="0.25">
      <c r="A19" s="11">
        <v>2134.8838879999998</v>
      </c>
      <c r="B19">
        <v>9</v>
      </c>
      <c r="C19" t="s">
        <v>40</v>
      </c>
    </row>
    <row r="20" spans="1:3" x14ac:dyDescent="0.25">
      <c r="A20" s="12" t="s">
        <v>36</v>
      </c>
      <c r="B20">
        <v>3</v>
      </c>
    </row>
    <row r="21" spans="1:3" x14ac:dyDescent="0.25">
      <c r="A21" s="12" t="s">
        <v>35</v>
      </c>
      <c r="B21">
        <v>2</v>
      </c>
    </row>
    <row r="22" spans="1:3" x14ac:dyDescent="0.25">
      <c r="A22" s="12" t="s">
        <v>37</v>
      </c>
      <c r="B22">
        <v>4</v>
      </c>
    </row>
    <row r="23" spans="1:3" x14ac:dyDescent="0.25">
      <c r="A23" s="11">
        <v>2361.4148660000001</v>
      </c>
      <c r="B23">
        <v>9</v>
      </c>
      <c r="C23" t="s">
        <v>41</v>
      </c>
    </row>
    <row r="24" spans="1:3" x14ac:dyDescent="0.25">
      <c r="A24" s="12" t="s">
        <v>36</v>
      </c>
      <c r="B24">
        <v>3</v>
      </c>
    </row>
    <row r="25" spans="1:3" x14ac:dyDescent="0.25">
      <c r="A25" s="12" t="s">
        <v>35</v>
      </c>
      <c r="B25">
        <v>3</v>
      </c>
    </row>
    <row r="26" spans="1:3" x14ac:dyDescent="0.25">
      <c r="A26" s="12" t="s">
        <v>37</v>
      </c>
      <c r="B26">
        <v>3</v>
      </c>
    </row>
    <row r="27" spans="1:3" x14ac:dyDescent="0.25">
      <c r="A27" s="11">
        <v>2172.7812180000001</v>
      </c>
      <c r="B27">
        <v>8</v>
      </c>
      <c r="C27" t="s">
        <v>39</v>
      </c>
    </row>
    <row r="28" spans="1:3" x14ac:dyDescent="0.25">
      <c r="A28" s="12" t="s">
        <v>36</v>
      </c>
      <c r="B28">
        <v>3</v>
      </c>
    </row>
    <row r="29" spans="1:3" x14ac:dyDescent="0.25">
      <c r="A29" s="12" t="s">
        <v>35</v>
      </c>
      <c r="B29">
        <v>2</v>
      </c>
    </row>
    <row r="30" spans="1:3" x14ac:dyDescent="0.25">
      <c r="A30" s="12" t="s">
        <v>37</v>
      </c>
      <c r="B30">
        <v>3</v>
      </c>
    </row>
    <row r="31" spans="1:3" x14ac:dyDescent="0.25">
      <c r="A31" s="11">
        <v>2400.0000570000002</v>
      </c>
      <c r="B31">
        <v>8</v>
      </c>
    </row>
    <row r="32" spans="1:3" x14ac:dyDescent="0.25">
      <c r="A32" s="12" t="s">
        <v>36</v>
      </c>
      <c r="B32">
        <v>3</v>
      </c>
    </row>
    <row r="33" spans="1:3" x14ac:dyDescent="0.25">
      <c r="A33" s="12" t="s">
        <v>35</v>
      </c>
      <c r="B33">
        <v>2</v>
      </c>
    </row>
    <row r="34" spans="1:3" x14ac:dyDescent="0.25">
      <c r="A34" s="12" t="s">
        <v>37</v>
      </c>
      <c r="B34">
        <v>3</v>
      </c>
    </row>
    <row r="35" spans="1:3" x14ac:dyDescent="0.25">
      <c r="A35" s="11">
        <v>2369.03233</v>
      </c>
      <c r="B35">
        <v>8</v>
      </c>
      <c r="C35" t="s">
        <v>41</v>
      </c>
    </row>
    <row r="36" spans="1:3" x14ac:dyDescent="0.25">
      <c r="A36" s="12" t="s">
        <v>36</v>
      </c>
      <c r="B36">
        <v>3</v>
      </c>
    </row>
    <row r="37" spans="1:3" x14ac:dyDescent="0.25">
      <c r="A37" s="12" t="s">
        <v>35</v>
      </c>
      <c r="B37">
        <v>2</v>
      </c>
    </row>
    <row r="38" spans="1:3" x14ac:dyDescent="0.25">
      <c r="A38" s="12" t="s">
        <v>37</v>
      </c>
      <c r="B38">
        <v>3</v>
      </c>
    </row>
    <row r="39" spans="1:3" x14ac:dyDescent="0.25">
      <c r="A39" s="11">
        <v>2147.3685829999999</v>
      </c>
      <c r="B39">
        <v>8</v>
      </c>
      <c r="C39" t="s">
        <v>40</v>
      </c>
    </row>
    <row r="40" spans="1:3" x14ac:dyDescent="0.25">
      <c r="A40" s="12" t="s">
        <v>36</v>
      </c>
      <c r="B40">
        <v>4</v>
      </c>
    </row>
    <row r="41" spans="1:3" x14ac:dyDescent="0.25">
      <c r="A41" s="12" t="s">
        <v>37</v>
      </c>
      <c r="B41">
        <v>4</v>
      </c>
    </row>
    <row r="42" spans="1:3" x14ac:dyDescent="0.25">
      <c r="A42" s="11">
        <v>1661.538753</v>
      </c>
      <c r="B42">
        <v>7</v>
      </c>
      <c r="C42" t="s">
        <v>42</v>
      </c>
    </row>
    <row r="43" spans="1:3" x14ac:dyDescent="0.25">
      <c r="A43" s="12" t="s">
        <v>36</v>
      </c>
      <c r="B43">
        <v>2</v>
      </c>
    </row>
    <row r="44" spans="1:3" x14ac:dyDescent="0.25">
      <c r="A44" s="12" t="s">
        <v>35</v>
      </c>
      <c r="B44">
        <v>1</v>
      </c>
    </row>
    <row r="45" spans="1:3" x14ac:dyDescent="0.25">
      <c r="A45" s="12" t="s">
        <v>37</v>
      </c>
      <c r="B45">
        <v>4</v>
      </c>
    </row>
    <row r="46" spans="1:3" x14ac:dyDescent="0.25">
      <c r="A46" s="11">
        <v>2353.8462319999999</v>
      </c>
      <c r="B46">
        <v>7</v>
      </c>
      <c r="C46" t="s">
        <v>41</v>
      </c>
    </row>
    <row r="47" spans="1:3" x14ac:dyDescent="0.25">
      <c r="A47" s="12" t="s">
        <v>36</v>
      </c>
      <c r="B47">
        <v>3</v>
      </c>
    </row>
    <row r="48" spans="1:3" x14ac:dyDescent="0.25">
      <c r="A48" s="12" t="s">
        <v>35</v>
      </c>
      <c r="B48">
        <v>2</v>
      </c>
    </row>
    <row r="49" spans="1:3" x14ac:dyDescent="0.25">
      <c r="A49" s="12" t="s">
        <v>37</v>
      </c>
      <c r="B49">
        <v>2</v>
      </c>
    </row>
    <row r="50" spans="1:3" x14ac:dyDescent="0.25">
      <c r="A50" s="11">
        <v>2122.5435240000002</v>
      </c>
      <c r="B50">
        <v>7</v>
      </c>
      <c r="C50" t="s">
        <v>43</v>
      </c>
    </row>
    <row r="51" spans="1:3" x14ac:dyDescent="0.25">
      <c r="A51" s="12" t="s">
        <v>36</v>
      </c>
      <c r="B51">
        <v>3</v>
      </c>
    </row>
    <row r="52" spans="1:3" x14ac:dyDescent="0.25">
      <c r="A52" s="12" t="s">
        <v>35</v>
      </c>
      <c r="B52">
        <v>1</v>
      </c>
    </row>
    <row r="53" spans="1:3" x14ac:dyDescent="0.25">
      <c r="A53" s="12" t="s">
        <v>37</v>
      </c>
      <c r="B53">
        <v>3</v>
      </c>
    </row>
    <row r="54" spans="1:3" x14ac:dyDescent="0.25">
      <c r="A54" s="11">
        <v>1669.091199</v>
      </c>
      <c r="B54">
        <v>6</v>
      </c>
      <c r="C54" t="s">
        <v>42</v>
      </c>
    </row>
    <row r="55" spans="1:3" x14ac:dyDescent="0.25">
      <c r="A55" s="12" t="s">
        <v>36</v>
      </c>
      <c r="B55">
        <v>2</v>
      </c>
    </row>
    <row r="56" spans="1:3" x14ac:dyDescent="0.25">
      <c r="A56" s="12" t="s">
        <v>35</v>
      </c>
      <c r="B56">
        <v>1</v>
      </c>
    </row>
    <row r="57" spans="1:3" x14ac:dyDescent="0.25">
      <c r="A57" s="12" t="s">
        <v>37</v>
      </c>
      <c r="B57">
        <v>3</v>
      </c>
    </row>
    <row r="58" spans="1:3" x14ac:dyDescent="0.25">
      <c r="A58" s="11">
        <v>2376.6990970000002</v>
      </c>
      <c r="B58">
        <v>5</v>
      </c>
      <c r="C58" t="s">
        <v>41</v>
      </c>
    </row>
    <row r="59" spans="1:3" x14ac:dyDescent="0.25">
      <c r="A59" s="12" t="s">
        <v>36</v>
      </c>
      <c r="B59">
        <v>2</v>
      </c>
    </row>
    <row r="60" spans="1:3" x14ac:dyDescent="0.25">
      <c r="A60" s="12" t="s">
        <v>37</v>
      </c>
      <c r="B60">
        <v>3</v>
      </c>
    </row>
    <row r="61" spans="1:3" x14ac:dyDescent="0.25">
      <c r="A61" s="11">
        <v>2384.415649</v>
      </c>
      <c r="B61">
        <v>5</v>
      </c>
      <c r="C61" t="s">
        <v>41</v>
      </c>
    </row>
    <row r="62" spans="1:3" x14ac:dyDescent="0.25">
      <c r="A62" s="12" t="s">
        <v>36</v>
      </c>
      <c r="B62">
        <v>1</v>
      </c>
    </row>
    <row r="63" spans="1:3" x14ac:dyDescent="0.25">
      <c r="A63" s="12" t="s">
        <v>35</v>
      </c>
      <c r="B63">
        <v>1</v>
      </c>
    </row>
    <row r="64" spans="1:3" x14ac:dyDescent="0.25">
      <c r="A64" s="12" t="s">
        <v>37</v>
      </c>
      <c r="B64">
        <v>3</v>
      </c>
    </row>
    <row r="65" spans="1:3" x14ac:dyDescent="0.25">
      <c r="A65" s="11">
        <v>1665.306413</v>
      </c>
      <c r="B65">
        <v>5</v>
      </c>
      <c r="C65" t="s">
        <v>42</v>
      </c>
    </row>
    <row r="66" spans="1:3" x14ac:dyDescent="0.25">
      <c r="A66" s="12" t="s">
        <v>36</v>
      </c>
      <c r="B66">
        <v>2</v>
      </c>
    </row>
    <row r="67" spans="1:3" x14ac:dyDescent="0.25">
      <c r="A67" s="12" t="s">
        <v>35</v>
      </c>
      <c r="B67">
        <v>1</v>
      </c>
    </row>
    <row r="68" spans="1:3" x14ac:dyDescent="0.25">
      <c r="A68" s="12" t="s">
        <v>37</v>
      </c>
      <c r="B68">
        <v>2</v>
      </c>
    </row>
    <row r="69" spans="1:3" x14ac:dyDescent="0.25">
      <c r="A69" s="11">
        <v>2128.6958209999998</v>
      </c>
      <c r="B69">
        <v>5</v>
      </c>
      <c r="C69" t="s">
        <v>43</v>
      </c>
    </row>
    <row r="70" spans="1:3" x14ac:dyDescent="0.25">
      <c r="A70" s="12" t="s">
        <v>36</v>
      </c>
      <c r="B70">
        <v>3</v>
      </c>
    </row>
    <row r="71" spans="1:3" x14ac:dyDescent="0.25">
      <c r="A71" s="12" t="s">
        <v>37</v>
      </c>
      <c r="B71">
        <v>2</v>
      </c>
    </row>
    <row r="72" spans="1:3" x14ac:dyDescent="0.25">
      <c r="A72" s="11">
        <v>2034.3492309999999</v>
      </c>
      <c r="B72">
        <v>4</v>
      </c>
    </row>
    <row r="73" spans="1:3" x14ac:dyDescent="0.25">
      <c r="A73" s="12" t="s">
        <v>36</v>
      </c>
      <c r="B73">
        <v>2</v>
      </c>
    </row>
    <row r="74" spans="1:3" x14ac:dyDescent="0.25">
      <c r="A74" s="12" t="s">
        <v>35</v>
      </c>
      <c r="B74">
        <v>1</v>
      </c>
    </row>
    <row r="75" spans="1:3" x14ac:dyDescent="0.25">
      <c r="A75" s="12" t="s">
        <v>37</v>
      </c>
      <c r="B75">
        <v>1</v>
      </c>
    </row>
    <row r="76" spans="1:3" x14ac:dyDescent="0.25">
      <c r="A76" s="11">
        <v>1696.074188</v>
      </c>
      <c r="B76">
        <v>4</v>
      </c>
    </row>
    <row r="77" spans="1:3" x14ac:dyDescent="0.25">
      <c r="A77" s="12" t="s">
        <v>36</v>
      </c>
      <c r="B77">
        <v>1</v>
      </c>
    </row>
    <row r="78" spans="1:3" x14ac:dyDescent="0.25">
      <c r="A78" s="12" t="s">
        <v>35</v>
      </c>
      <c r="B78">
        <v>1</v>
      </c>
    </row>
    <row r="79" spans="1:3" x14ac:dyDescent="0.25">
      <c r="A79" s="12" t="s">
        <v>37</v>
      </c>
      <c r="B79">
        <v>2</v>
      </c>
    </row>
    <row r="80" spans="1:3" x14ac:dyDescent="0.25">
      <c r="A80" s="11">
        <v>1471.743802</v>
      </c>
      <c r="B80">
        <v>4</v>
      </c>
    </row>
    <row r="81" spans="1:2" x14ac:dyDescent="0.25">
      <c r="A81" s="12" t="s">
        <v>36</v>
      </c>
      <c r="B81">
        <v>1</v>
      </c>
    </row>
    <row r="82" spans="1:2" x14ac:dyDescent="0.25">
      <c r="A82" s="12" t="s">
        <v>35</v>
      </c>
      <c r="B82">
        <v>1</v>
      </c>
    </row>
    <row r="83" spans="1:2" x14ac:dyDescent="0.25">
      <c r="A83" s="12" t="s">
        <v>37</v>
      </c>
      <c r="B83">
        <v>2</v>
      </c>
    </row>
    <row r="84" spans="1:2" x14ac:dyDescent="0.25">
      <c r="A84" s="11">
        <v>2001.09013</v>
      </c>
      <c r="B84">
        <v>4</v>
      </c>
    </row>
    <row r="85" spans="1:2" x14ac:dyDescent="0.25">
      <c r="A85" s="12" t="s">
        <v>36</v>
      </c>
      <c r="B85">
        <v>1</v>
      </c>
    </row>
    <row r="86" spans="1:2" x14ac:dyDescent="0.25">
      <c r="A86" s="12" t="s">
        <v>35</v>
      </c>
      <c r="B86">
        <v>1</v>
      </c>
    </row>
    <row r="87" spans="1:2" x14ac:dyDescent="0.25">
      <c r="A87" s="12" t="s">
        <v>37</v>
      </c>
      <c r="B87">
        <v>2</v>
      </c>
    </row>
    <row r="88" spans="1:2" x14ac:dyDescent="0.25">
      <c r="A88" s="11">
        <v>1672.8932279999999</v>
      </c>
      <c r="B88">
        <v>4</v>
      </c>
    </row>
    <row r="89" spans="1:2" x14ac:dyDescent="0.25">
      <c r="A89" s="12" t="s">
        <v>36</v>
      </c>
      <c r="B89">
        <v>2</v>
      </c>
    </row>
    <row r="90" spans="1:2" x14ac:dyDescent="0.25">
      <c r="A90" s="12" t="s">
        <v>35</v>
      </c>
      <c r="B90">
        <v>1</v>
      </c>
    </row>
    <row r="91" spans="1:2" x14ac:dyDescent="0.25">
      <c r="A91" s="12" t="s">
        <v>37</v>
      </c>
      <c r="B91">
        <v>1</v>
      </c>
    </row>
    <row r="92" spans="1:2" x14ac:dyDescent="0.25">
      <c r="A92" s="11">
        <v>2028.729484</v>
      </c>
      <c r="B92">
        <v>4</v>
      </c>
    </row>
    <row r="93" spans="1:2" x14ac:dyDescent="0.25">
      <c r="A93" s="12" t="s">
        <v>36</v>
      </c>
      <c r="B93">
        <v>3</v>
      </c>
    </row>
    <row r="94" spans="1:2" x14ac:dyDescent="0.25">
      <c r="A94" s="12" t="s">
        <v>37</v>
      </c>
      <c r="B94">
        <v>1</v>
      </c>
    </row>
    <row r="95" spans="1:2" x14ac:dyDescent="0.25">
      <c r="A95" s="11">
        <v>1822.3327650000001</v>
      </c>
      <c r="B95">
        <v>4</v>
      </c>
    </row>
    <row r="96" spans="1:2" x14ac:dyDescent="0.25">
      <c r="A96" s="12" t="s">
        <v>36</v>
      </c>
      <c r="B96">
        <v>1</v>
      </c>
    </row>
    <row r="97" spans="1:2" x14ac:dyDescent="0.25">
      <c r="A97" s="12" t="s">
        <v>37</v>
      </c>
      <c r="B97">
        <v>3</v>
      </c>
    </row>
    <row r="98" spans="1:2" x14ac:dyDescent="0.25">
      <c r="A98" s="11">
        <v>2407.8689060000002</v>
      </c>
      <c r="B98">
        <v>4</v>
      </c>
    </row>
    <row r="99" spans="1:2" x14ac:dyDescent="0.25">
      <c r="A99" s="12" t="s">
        <v>36</v>
      </c>
      <c r="B99">
        <v>2</v>
      </c>
    </row>
    <row r="100" spans="1:2" x14ac:dyDescent="0.25">
      <c r="A100" s="12" t="s">
        <v>37</v>
      </c>
      <c r="B100">
        <v>2</v>
      </c>
    </row>
    <row r="101" spans="1:2" x14ac:dyDescent="0.25">
      <c r="A101" s="11">
        <v>2415.7895229999999</v>
      </c>
      <c r="B101">
        <v>3</v>
      </c>
    </row>
    <row r="102" spans="1:2" x14ac:dyDescent="0.25">
      <c r="A102" s="12" t="s">
        <v>36</v>
      </c>
      <c r="B102">
        <v>1</v>
      </c>
    </row>
    <row r="103" spans="1:2" x14ac:dyDescent="0.25">
      <c r="A103" s="12" t="s">
        <v>37</v>
      </c>
      <c r="B103">
        <v>2</v>
      </c>
    </row>
    <row r="104" spans="1:2" x14ac:dyDescent="0.25">
      <c r="A104" s="11">
        <v>1632.0002959999999</v>
      </c>
      <c r="B104">
        <v>3</v>
      </c>
    </row>
    <row r="105" spans="1:2" x14ac:dyDescent="0.25">
      <c r="A105" s="12" t="s">
        <v>36</v>
      </c>
      <c r="B105">
        <v>1</v>
      </c>
    </row>
    <row r="106" spans="1:2" x14ac:dyDescent="0.25">
      <c r="A106" s="12" t="s">
        <v>37</v>
      </c>
      <c r="B106">
        <v>2</v>
      </c>
    </row>
    <row r="107" spans="1:2" x14ac:dyDescent="0.25">
      <c r="A107" s="11">
        <v>2116.4266859999998</v>
      </c>
      <c r="B107">
        <v>3</v>
      </c>
    </row>
    <row r="108" spans="1:2" x14ac:dyDescent="0.25">
      <c r="A108" s="12" t="s">
        <v>36</v>
      </c>
      <c r="B108">
        <v>2</v>
      </c>
    </row>
    <row r="109" spans="1:2" x14ac:dyDescent="0.25">
      <c r="A109" s="12" t="s">
        <v>37</v>
      </c>
      <c r="B109">
        <v>1</v>
      </c>
    </row>
    <row r="110" spans="1:2" x14ac:dyDescent="0.25">
      <c r="A110" s="11">
        <v>1468.800315</v>
      </c>
      <c r="B110">
        <v>3</v>
      </c>
    </row>
    <row r="111" spans="1:2" x14ac:dyDescent="0.25">
      <c r="A111" s="12" t="s">
        <v>36</v>
      </c>
      <c r="B111">
        <v>1</v>
      </c>
    </row>
    <row r="112" spans="1:2" x14ac:dyDescent="0.25">
      <c r="A112" s="12" t="s">
        <v>37</v>
      </c>
      <c r="B112">
        <v>2</v>
      </c>
    </row>
    <row r="113" spans="1:2" x14ac:dyDescent="0.25">
      <c r="A113" s="11">
        <v>1462.948523</v>
      </c>
      <c r="B113">
        <v>3</v>
      </c>
    </row>
    <row r="114" spans="1:2" x14ac:dyDescent="0.25">
      <c r="A114" s="12" t="s">
        <v>36</v>
      </c>
      <c r="B114">
        <v>1</v>
      </c>
    </row>
    <row r="115" spans="1:2" x14ac:dyDescent="0.25">
      <c r="A115" s="12" t="s">
        <v>35</v>
      </c>
      <c r="B115">
        <v>1</v>
      </c>
    </row>
    <row r="116" spans="1:2" x14ac:dyDescent="0.25">
      <c r="A116" s="12" t="s">
        <v>37</v>
      </c>
      <c r="B116">
        <v>1</v>
      </c>
    </row>
    <row r="117" spans="1:2" x14ac:dyDescent="0.25">
      <c r="A117" s="11">
        <v>1420.5032200000001</v>
      </c>
      <c r="B117">
        <v>3</v>
      </c>
    </row>
    <row r="118" spans="1:2" x14ac:dyDescent="0.25">
      <c r="A118" s="12" t="s">
        <v>36</v>
      </c>
      <c r="B118">
        <v>1</v>
      </c>
    </row>
    <row r="119" spans="1:2" x14ac:dyDescent="0.25">
      <c r="A119" s="12" t="s">
        <v>35</v>
      </c>
      <c r="B119">
        <v>1</v>
      </c>
    </row>
    <row r="120" spans="1:2" x14ac:dyDescent="0.25">
      <c r="A120" s="12" t="s">
        <v>37</v>
      </c>
      <c r="B120">
        <v>1</v>
      </c>
    </row>
    <row r="121" spans="1:2" x14ac:dyDescent="0.25">
      <c r="A121" s="11">
        <v>2346.3259600000001</v>
      </c>
      <c r="B121">
        <v>3</v>
      </c>
    </row>
    <row r="122" spans="1:2" x14ac:dyDescent="0.25">
      <c r="A122" s="12" t="s">
        <v>36</v>
      </c>
      <c r="B122">
        <v>1</v>
      </c>
    </row>
    <row r="123" spans="1:2" x14ac:dyDescent="0.25">
      <c r="A123" s="12" t="s">
        <v>37</v>
      </c>
      <c r="B123">
        <v>2</v>
      </c>
    </row>
    <row r="124" spans="1:2" x14ac:dyDescent="0.25">
      <c r="A124" s="11">
        <v>2045.6826490000001</v>
      </c>
      <c r="B124">
        <v>3</v>
      </c>
    </row>
    <row r="125" spans="1:2" x14ac:dyDescent="0.25">
      <c r="A125" s="12" t="s">
        <v>36</v>
      </c>
      <c r="B125">
        <v>2</v>
      </c>
    </row>
    <row r="126" spans="1:2" x14ac:dyDescent="0.25">
      <c r="A126" s="12" t="s">
        <v>35</v>
      </c>
      <c r="B126">
        <v>1</v>
      </c>
    </row>
    <row r="127" spans="1:2" x14ac:dyDescent="0.25">
      <c r="A127" s="11">
        <v>1624.7790580000001</v>
      </c>
      <c r="B127">
        <v>3</v>
      </c>
    </row>
    <row r="128" spans="1:2" x14ac:dyDescent="0.25">
      <c r="A128" s="12" t="s">
        <v>36</v>
      </c>
      <c r="B128">
        <v>1</v>
      </c>
    </row>
    <row r="129" spans="1:2" x14ac:dyDescent="0.25">
      <c r="A129" s="12" t="s">
        <v>35</v>
      </c>
      <c r="B129">
        <v>1</v>
      </c>
    </row>
    <row r="130" spans="1:2" x14ac:dyDescent="0.25">
      <c r="A130" s="12" t="s">
        <v>37</v>
      </c>
      <c r="B130">
        <v>1</v>
      </c>
    </row>
    <row r="131" spans="1:2" x14ac:dyDescent="0.25">
      <c r="A131" s="11">
        <v>1511.1114219999999</v>
      </c>
      <c r="B131">
        <v>3</v>
      </c>
    </row>
    <row r="132" spans="1:2" x14ac:dyDescent="0.25">
      <c r="A132" s="12" t="s">
        <v>36</v>
      </c>
      <c r="B132">
        <v>1</v>
      </c>
    </row>
    <row r="133" spans="1:2" x14ac:dyDescent="0.25">
      <c r="A133" s="12" t="s">
        <v>35</v>
      </c>
      <c r="B133">
        <v>1</v>
      </c>
    </row>
    <row r="134" spans="1:2" x14ac:dyDescent="0.25">
      <c r="A134" s="12" t="s">
        <v>37</v>
      </c>
      <c r="B134">
        <v>1</v>
      </c>
    </row>
    <row r="135" spans="1:2" x14ac:dyDescent="0.25">
      <c r="A135" s="11">
        <v>1963.6365860000001</v>
      </c>
      <c r="B135">
        <v>3</v>
      </c>
    </row>
    <row r="136" spans="1:2" x14ac:dyDescent="0.25">
      <c r="A136" s="12" t="s">
        <v>36</v>
      </c>
      <c r="B136">
        <v>1</v>
      </c>
    </row>
    <row r="137" spans="1:2" x14ac:dyDescent="0.25">
      <c r="A137" s="12" t="s">
        <v>35</v>
      </c>
      <c r="B137">
        <v>1</v>
      </c>
    </row>
    <row r="138" spans="1:2" x14ac:dyDescent="0.25">
      <c r="A138" s="12" t="s">
        <v>37</v>
      </c>
      <c r="B138">
        <v>1</v>
      </c>
    </row>
    <row r="139" spans="1:2" x14ac:dyDescent="0.25">
      <c r="A139" s="11">
        <v>2179.2286370000002</v>
      </c>
      <c r="B139">
        <v>3</v>
      </c>
    </row>
    <row r="140" spans="1:2" x14ac:dyDescent="0.25">
      <c r="A140" s="12" t="s">
        <v>36</v>
      </c>
      <c r="B140">
        <v>1</v>
      </c>
    </row>
    <row r="141" spans="1:2" x14ac:dyDescent="0.25">
      <c r="A141" s="12" t="s">
        <v>37</v>
      </c>
      <c r="B141">
        <v>2</v>
      </c>
    </row>
    <row r="142" spans="1:2" x14ac:dyDescent="0.25">
      <c r="A142" s="11">
        <v>2392.1824710000001</v>
      </c>
      <c r="B142">
        <v>3</v>
      </c>
    </row>
    <row r="143" spans="1:2" x14ac:dyDescent="0.25">
      <c r="A143" s="12" t="s">
        <v>36</v>
      </c>
      <c r="B143">
        <v>2</v>
      </c>
    </row>
    <row r="144" spans="1:2" x14ac:dyDescent="0.25">
      <c r="A144" s="12" t="s">
        <v>37</v>
      </c>
      <c r="B144">
        <v>1</v>
      </c>
    </row>
    <row r="145" spans="1:2" x14ac:dyDescent="0.25">
      <c r="A145" s="11">
        <v>2295.0001040000002</v>
      </c>
      <c r="B145">
        <v>3</v>
      </c>
    </row>
    <row r="146" spans="1:2" x14ac:dyDescent="0.25">
      <c r="A146" s="12" t="s">
        <v>37</v>
      </c>
      <c r="B146">
        <v>3</v>
      </c>
    </row>
    <row r="147" spans="1:2" x14ac:dyDescent="0.25">
      <c r="A147" s="11">
        <v>2309.43406</v>
      </c>
      <c r="B147">
        <v>3</v>
      </c>
    </row>
    <row r="148" spans="1:2" x14ac:dyDescent="0.25">
      <c r="A148" s="12" t="s">
        <v>36</v>
      </c>
      <c r="B148">
        <v>1</v>
      </c>
    </row>
    <row r="149" spans="1:2" x14ac:dyDescent="0.25">
      <c r="A149" s="12" t="s">
        <v>37</v>
      </c>
      <c r="B149">
        <v>2</v>
      </c>
    </row>
    <row r="150" spans="1:2" x14ac:dyDescent="0.25">
      <c r="A150" s="11">
        <v>2051.396843</v>
      </c>
      <c r="B150">
        <v>3</v>
      </c>
    </row>
    <row r="151" spans="1:2" x14ac:dyDescent="0.25">
      <c r="A151" s="12" t="s">
        <v>36</v>
      </c>
      <c r="B151">
        <v>1</v>
      </c>
    </row>
    <row r="152" spans="1:2" x14ac:dyDescent="0.25">
      <c r="A152" s="12" t="s">
        <v>37</v>
      </c>
      <c r="B152">
        <v>2</v>
      </c>
    </row>
    <row r="153" spans="1:2" x14ac:dyDescent="0.25">
      <c r="A153" s="11">
        <v>2423.7624219999998</v>
      </c>
      <c r="B153">
        <v>3</v>
      </c>
    </row>
    <row r="154" spans="1:2" x14ac:dyDescent="0.25">
      <c r="A154" s="12" t="s">
        <v>36</v>
      </c>
      <c r="B154">
        <v>1</v>
      </c>
    </row>
    <row r="155" spans="1:2" x14ac:dyDescent="0.25">
      <c r="A155" s="12" t="s">
        <v>37</v>
      </c>
      <c r="B155">
        <v>2</v>
      </c>
    </row>
    <row r="156" spans="1:2" x14ac:dyDescent="0.25">
      <c r="A156" s="11">
        <v>1428.794093</v>
      </c>
      <c r="B156">
        <v>2</v>
      </c>
    </row>
    <row r="157" spans="1:2" x14ac:dyDescent="0.25">
      <c r="A157" s="12" t="s">
        <v>36</v>
      </c>
      <c r="B157">
        <v>1</v>
      </c>
    </row>
    <row r="158" spans="1:2" x14ac:dyDescent="0.25">
      <c r="A158" s="12" t="s">
        <v>37</v>
      </c>
      <c r="B158">
        <v>1</v>
      </c>
    </row>
    <row r="159" spans="1:2" x14ac:dyDescent="0.25">
      <c r="A159" s="11">
        <v>1657.788102</v>
      </c>
      <c r="B159">
        <v>2</v>
      </c>
    </row>
    <row r="160" spans="1:2" x14ac:dyDescent="0.25">
      <c r="A160" s="12" t="s">
        <v>36</v>
      </c>
      <c r="B160">
        <v>1</v>
      </c>
    </row>
    <row r="161" spans="1:2" x14ac:dyDescent="0.25">
      <c r="A161" s="12" t="s">
        <v>37</v>
      </c>
      <c r="B161">
        <v>1</v>
      </c>
    </row>
    <row r="162" spans="1:2" x14ac:dyDescent="0.25">
      <c r="A162" s="11">
        <v>1922.5133229999999</v>
      </c>
      <c r="B162">
        <v>2</v>
      </c>
    </row>
    <row r="163" spans="1:2" x14ac:dyDescent="0.25">
      <c r="A163" s="12" t="s">
        <v>36</v>
      </c>
      <c r="B163">
        <v>1</v>
      </c>
    </row>
    <row r="164" spans="1:2" x14ac:dyDescent="0.25">
      <c r="A164" s="12" t="s">
        <v>37</v>
      </c>
      <c r="B164">
        <v>1</v>
      </c>
    </row>
    <row r="165" spans="1:2" x14ac:dyDescent="0.25">
      <c r="A165" s="11">
        <v>1628.3816710000001</v>
      </c>
      <c r="B165">
        <v>2</v>
      </c>
    </row>
    <row r="166" spans="1:2" x14ac:dyDescent="0.25">
      <c r="A166" s="12" t="s">
        <v>36</v>
      </c>
      <c r="B166">
        <v>1</v>
      </c>
    </row>
    <row r="167" spans="1:2" x14ac:dyDescent="0.25">
      <c r="A167" s="12" t="s">
        <v>37</v>
      </c>
      <c r="B167">
        <v>1</v>
      </c>
    </row>
    <row r="168" spans="1:2" x14ac:dyDescent="0.25">
      <c r="A168" s="11">
        <v>1700.000284</v>
      </c>
      <c r="B168">
        <v>2</v>
      </c>
    </row>
    <row r="169" spans="1:2" x14ac:dyDescent="0.25">
      <c r="A169" s="12" t="s">
        <v>37</v>
      </c>
      <c r="B169">
        <v>2</v>
      </c>
    </row>
    <row r="170" spans="1:2" x14ac:dyDescent="0.25">
      <c r="A170" s="11">
        <v>1984.8650809999999</v>
      </c>
      <c r="B170">
        <v>2</v>
      </c>
    </row>
    <row r="171" spans="1:2" x14ac:dyDescent="0.25">
      <c r="A171" s="12" t="s">
        <v>36</v>
      </c>
      <c r="B171">
        <v>1</v>
      </c>
    </row>
    <row r="172" spans="1:2" x14ac:dyDescent="0.25">
      <c r="A172" s="12" t="s">
        <v>37</v>
      </c>
      <c r="B172">
        <v>1</v>
      </c>
    </row>
    <row r="173" spans="1:2" x14ac:dyDescent="0.25">
      <c r="A173" s="11">
        <v>1878.261115</v>
      </c>
      <c r="B173">
        <v>2</v>
      </c>
    </row>
    <row r="174" spans="1:2" x14ac:dyDescent="0.25">
      <c r="A174" s="12" t="s">
        <v>36</v>
      </c>
      <c r="B174">
        <v>1</v>
      </c>
    </row>
    <row r="175" spans="1:2" x14ac:dyDescent="0.25">
      <c r="A175" s="12" t="s">
        <v>37</v>
      </c>
      <c r="B175">
        <v>1</v>
      </c>
    </row>
    <row r="176" spans="1:2" x14ac:dyDescent="0.25">
      <c r="A176" s="11">
        <v>1990.244117</v>
      </c>
      <c r="B176">
        <v>2</v>
      </c>
    </row>
    <row r="177" spans="1:2" x14ac:dyDescent="0.25">
      <c r="A177" s="12" t="s">
        <v>36</v>
      </c>
      <c r="B177">
        <v>1</v>
      </c>
    </row>
    <row r="178" spans="1:2" x14ac:dyDescent="0.25">
      <c r="A178" s="12" t="s">
        <v>35</v>
      </c>
      <c r="B178">
        <v>1</v>
      </c>
    </row>
    <row r="179" spans="1:2" x14ac:dyDescent="0.25">
      <c r="A179" s="11">
        <v>2324.0507240000002</v>
      </c>
      <c r="B179">
        <v>2</v>
      </c>
    </row>
    <row r="180" spans="1:2" x14ac:dyDescent="0.25">
      <c r="A180" s="12" t="s">
        <v>36</v>
      </c>
      <c r="B180">
        <v>1</v>
      </c>
    </row>
    <row r="181" spans="1:2" x14ac:dyDescent="0.25">
      <c r="A181" s="12" t="s">
        <v>37</v>
      </c>
      <c r="B181">
        <v>1</v>
      </c>
    </row>
    <row r="182" spans="1:2" x14ac:dyDescent="0.25">
      <c r="A182" s="11">
        <v>1549.3673960000001</v>
      </c>
      <c r="B182">
        <v>2</v>
      </c>
    </row>
    <row r="183" spans="1:2" x14ac:dyDescent="0.25">
      <c r="A183" s="12" t="s">
        <v>36</v>
      </c>
      <c r="B183">
        <v>1</v>
      </c>
    </row>
    <row r="184" spans="1:2" x14ac:dyDescent="0.25">
      <c r="A184" s="12" t="s">
        <v>35</v>
      </c>
      <c r="B184">
        <v>1</v>
      </c>
    </row>
    <row r="185" spans="1:2" x14ac:dyDescent="0.25">
      <c r="A185" s="11">
        <v>2040.0001990000001</v>
      </c>
      <c r="B185">
        <v>2</v>
      </c>
    </row>
    <row r="186" spans="1:2" x14ac:dyDescent="0.25">
      <c r="A186" s="12" t="s">
        <v>36</v>
      </c>
      <c r="B186">
        <v>1</v>
      </c>
    </row>
    <row r="187" spans="1:2" x14ac:dyDescent="0.25">
      <c r="A187" s="12" t="s">
        <v>37</v>
      </c>
      <c r="B187">
        <v>1</v>
      </c>
    </row>
    <row r="188" spans="1:2" x14ac:dyDescent="0.25">
      <c r="A188" s="11">
        <v>1635.635039</v>
      </c>
      <c r="B188">
        <v>2</v>
      </c>
    </row>
    <row r="189" spans="1:2" x14ac:dyDescent="0.25">
      <c r="A189" s="12" t="s">
        <v>36</v>
      </c>
      <c r="B189">
        <v>1</v>
      </c>
    </row>
    <row r="190" spans="1:2" x14ac:dyDescent="0.25">
      <c r="A190" s="12" t="s">
        <v>37</v>
      </c>
      <c r="B190">
        <v>1</v>
      </c>
    </row>
    <row r="191" spans="1:2" x14ac:dyDescent="0.25">
      <c r="A191" s="11">
        <v>1817.822042</v>
      </c>
      <c r="B191">
        <v>2</v>
      </c>
    </row>
    <row r="192" spans="1:2" x14ac:dyDescent="0.25">
      <c r="A192" s="12" t="s">
        <v>36</v>
      </c>
      <c r="B192">
        <v>1</v>
      </c>
    </row>
    <row r="193" spans="1:2" x14ac:dyDescent="0.25">
      <c r="A193" s="12" t="s">
        <v>37</v>
      </c>
      <c r="B193">
        <v>1</v>
      </c>
    </row>
    <row r="194" spans="1:2" x14ac:dyDescent="0.25">
      <c r="A194" s="11">
        <v>2185.714434</v>
      </c>
      <c r="B194">
        <v>2</v>
      </c>
    </row>
    <row r="195" spans="1:2" x14ac:dyDescent="0.25">
      <c r="A195" s="12" t="s">
        <v>36</v>
      </c>
      <c r="B195">
        <v>1</v>
      </c>
    </row>
    <row r="196" spans="1:2" x14ac:dyDescent="0.25">
      <c r="A196" s="12" t="s">
        <v>37</v>
      </c>
      <c r="B196">
        <v>1</v>
      </c>
    </row>
    <row r="197" spans="1:2" x14ac:dyDescent="0.25">
      <c r="A197" s="11">
        <v>1826.8659299999999</v>
      </c>
      <c r="B197">
        <v>2</v>
      </c>
    </row>
    <row r="198" spans="1:2" x14ac:dyDescent="0.25">
      <c r="A198" s="12" t="s">
        <v>36</v>
      </c>
      <c r="B198">
        <v>1</v>
      </c>
    </row>
    <row r="199" spans="1:2" x14ac:dyDescent="0.25">
      <c r="A199" s="12" t="s">
        <v>37</v>
      </c>
      <c r="B199">
        <v>1</v>
      </c>
    </row>
    <row r="200" spans="1:2" x14ac:dyDescent="0.25">
      <c r="A200" s="11">
        <v>2431.7881219999999</v>
      </c>
      <c r="B200">
        <v>2</v>
      </c>
    </row>
    <row r="201" spans="1:2" x14ac:dyDescent="0.25">
      <c r="A201" s="12" t="s">
        <v>36</v>
      </c>
      <c r="B201">
        <v>1</v>
      </c>
    </row>
    <row r="202" spans="1:2" x14ac:dyDescent="0.25">
      <c r="A202" s="12" t="s">
        <v>37</v>
      </c>
      <c r="B202">
        <v>1</v>
      </c>
    </row>
    <row r="203" spans="1:2" x14ac:dyDescent="0.25">
      <c r="A203" s="11">
        <v>1912.500237</v>
      </c>
      <c r="B203">
        <v>2</v>
      </c>
    </row>
    <row r="204" spans="1:2" x14ac:dyDescent="0.25">
      <c r="A204" s="12" t="s">
        <v>36</v>
      </c>
      <c r="B204">
        <v>1</v>
      </c>
    </row>
    <row r="205" spans="1:2" x14ac:dyDescent="0.25">
      <c r="A205" s="12" t="s">
        <v>37</v>
      </c>
      <c r="B205">
        <v>1</v>
      </c>
    </row>
    <row r="206" spans="1:2" x14ac:dyDescent="0.25">
      <c r="A206" s="11">
        <v>2302.1944579999999</v>
      </c>
      <c r="B206">
        <v>2</v>
      </c>
    </row>
    <row r="207" spans="1:2" x14ac:dyDescent="0.25">
      <c r="A207" s="12" t="s">
        <v>37</v>
      </c>
      <c r="B207">
        <v>2</v>
      </c>
    </row>
    <row r="208" spans="1:2" x14ac:dyDescent="0.25">
      <c r="A208" s="11">
        <v>1958.400224</v>
      </c>
      <c r="B208">
        <v>2</v>
      </c>
    </row>
    <row r="209" spans="1:2" x14ac:dyDescent="0.25">
      <c r="A209" s="12" t="s">
        <v>36</v>
      </c>
      <c r="B209">
        <v>1</v>
      </c>
    </row>
    <row r="210" spans="1:2" x14ac:dyDescent="0.25">
      <c r="A210" s="12" t="s">
        <v>37</v>
      </c>
      <c r="B210">
        <v>1</v>
      </c>
    </row>
    <row r="211" spans="1:2" x14ac:dyDescent="0.25">
      <c r="A211" s="11">
        <v>1692.1661839999999</v>
      </c>
      <c r="B211">
        <v>2</v>
      </c>
    </row>
    <row r="212" spans="1:2" x14ac:dyDescent="0.25">
      <c r="A212" s="12" t="s">
        <v>36</v>
      </c>
      <c r="B212">
        <v>1</v>
      </c>
    </row>
    <row r="213" spans="1:2" x14ac:dyDescent="0.25">
      <c r="A213" s="12" t="s">
        <v>37</v>
      </c>
      <c r="B213">
        <v>1</v>
      </c>
    </row>
    <row r="214" spans="1:2" x14ac:dyDescent="0.25">
      <c r="A214" s="11">
        <v>2006.557587</v>
      </c>
      <c r="B214">
        <v>2</v>
      </c>
    </row>
    <row r="215" spans="1:2" x14ac:dyDescent="0.25">
      <c r="A215" s="12" t="s">
        <v>37</v>
      </c>
      <c r="B215">
        <v>2</v>
      </c>
    </row>
    <row r="216" spans="1:2" x14ac:dyDescent="0.25">
      <c r="A216" s="11">
        <v>2456.1873209999999</v>
      </c>
      <c r="B216">
        <v>2</v>
      </c>
    </row>
    <row r="217" spans="1:2" x14ac:dyDescent="0.25">
      <c r="A217" s="12" t="s">
        <v>37</v>
      </c>
      <c r="B217">
        <v>2</v>
      </c>
    </row>
    <row r="218" spans="1:2" x14ac:dyDescent="0.25">
      <c r="A218" s="11">
        <v>2023.1406999999999</v>
      </c>
      <c r="B218">
        <v>2</v>
      </c>
    </row>
    <row r="219" spans="1:2" x14ac:dyDescent="0.25">
      <c r="A219" s="12" t="s">
        <v>36</v>
      </c>
      <c r="B219">
        <v>1</v>
      </c>
    </row>
    <row r="220" spans="1:2" x14ac:dyDescent="0.25">
      <c r="A220" s="12" t="s">
        <v>37</v>
      </c>
      <c r="B220">
        <v>1</v>
      </c>
    </row>
    <row r="221" spans="1:2" x14ac:dyDescent="0.25">
      <c r="A221" s="11">
        <v>1953.1917149999999</v>
      </c>
      <c r="B221">
        <v>2</v>
      </c>
    </row>
    <row r="222" spans="1:2" x14ac:dyDescent="0.25">
      <c r="A222" s="12" t="s">
        <v>36</v>
      </c>
      <c r="B222">
        <v>1</v>
      </c>
    </row>
    <row r="223" spans="1:2" x14ac:dyDescent="0.25">
      <c r="A223" s="12" t="s">
        <v>37</v>
      </c>
      <c r="B223">
        <v>1</v>
      </c>
    </row>
    <row r="224" spans="1:2" x14ac:dyDescent="0.25">
      <c r="A224" s="11">
        <v>1892.7837469999999</v>
      </c>
      <c r="B224">
        <v>1</v>
      </c>
    </row>
    <row r="225" spans="1:2" x14ac:dyDescent="0.25">
      <c r="A225" s="12" t="s">
        <v>37</v>
      </c>
      <c r="B225">
        <v>1</v>
      </c>
    </row>
    <row r="226" spans="1:2" x14ac:dyDescent="0.25">
      <c r="A226" s="11">
        <v>2497.9591930000001</v>
      </c>
      <c r="B226">
        <v>1</v>
      </c>
    </row>
    <row r="227" spans="1:2" x14ac:dyDescent="0.25">
      <c r="A227" s="12" t="s">
        <v>37</v>
      </c>
      <c r="B227">
        <v>1</v>
      </c>
    </row>
    <row r="228" spans="1:2" x14ac:dyDescent="0.25">
      <c r="A228" s="11">
        <v>1495.7233269999999</v>
      </c>
      <c r="B228">
        <v>1</v>
      </c>
    </row>
    <row r="229" spans="1:2" x14ac:dyDescent="0.25">
      <c r="A229" s="12" t="s">
        <v>37</v>
      </c>
      <c r="B229">
        <v>1</v>
      </c>
    </row>
    <row r="230" spans="1:2" x14ac:dyDescent="0.25">
      <c r="A230" s="11">
        <v>1676.7126169999999</v>
      </c>
      <c r="B230">
        <v>1</v>
      </c>
    </row>
    <row r="231" spans="1:2" x14ac:dyDescent="0.25">
      <c r="A231" s="12" t="s">
        <v>36</v>
      </c>
      <c r="B231">
        <v>1</v>
      </c>
    </row>
    <row r="232" spans="1:2" x14ac:dyDescent="0.25">
      <c r="A232" s="11">
        <v>1868.702538</v>
      </c>
      <c r="B232">
        <v>1</v>
      </c>
    </row>
    <row r="233" spans="1:2" x14ac:dyDescent="0.25">
      <c r="A233" s="12" t="s">
        <v>36</v>
      </c>
      <c r="B233">
        <v>1</v>
      </c>
    </row>
    <row r="234" spans="1:2" x14ac:dyDescent="0.25">
      <c r="A234" s="11">
        <v>1533.194463</v>
      </c>
      <c r="B234">
        <v>1</v>
      </c>
    </row>
    <row r="235" spans="1:2" x14ac:dyDescent="0.25">
      <c r="A235" s="12" t="s">
        <v>37</v>
      </c>
      <c r="B235">
        <v>1</v>
      </c>
    </row>
    <row r="236" spans="1:2" x14ac:dyDescent="0.25">
      <c r="A236" s="11">
        <v>1365.0560840000001</v>
      </c>
      <c r="B236">
        <v>1</v>
      </c>
    </row>
    <row r="237" spans="1:2" x14ac:dyDescent="0.25">
      <c r="A237" s="12" t="s">
        <v>37</v>
      </c>
      <c r="B237">
        <v>1</v>
      </c>
    </row>
    <row r="238" spans="1:2" x14ac:dyDescent="0.25">
      <c r="A238" s="11">
        <v>1460.0400770000001</v>
      </c>
      <c r="B238">
        <v>1</v>
      </c>
    </row>
    <row r="239" spans="1:2" x14ac:dyDescent="0.25">
      <c r="A239" s="12" t="s">
        <v>37</v>
      </c>
      <c r="B239">
        <v>1</v>
      </c>
    </row>
    <row r="240" spans="1:2" x14ac:dyDescent="0.25">
      <c r="A240" s="11">
        <v>1514.2271149999999</v>
      </c>
      <c r="B240">
        <v>1</v>
      </c>
    </row>
    <row r="241" spans="1:2" x14ac:dyDescent="0.25">
      <c r="A241" s="12" t="s">
        <v>36</v>
      </c>
      <c r="B241">
        <v>1</v>
      </c>
    </row>
    <row r="242" spans="1:2" x14ac:dyDescent="0.25">
      <c r="A242" s="11">
        <v>1593.0588700000001</v>
      </c>
      <c r="B242">
        <v>1</v>
      </c>
    </row>
    <row r="243" spans="1:2" x14ac:dyDescent="0.25">
      <c r="A243" s="12" t="s">
        <v>37</v>
      </c>
      <c r="B243">
        <v>1</v>
      </c>
    </row>
    <row r="244" spans="1:2" x14ac:dyDescent="0.25">
      <c r="A244" s="11">
        <v>2280.7454520000001</v>
      </c>
      <c r="B244">
        <v>1</v>
      </c>
    </row>
    <row r="245" spans="1:2" x14ac:dyDescent="0.25">
      <c r="A245" s="12" t="s">
        <v>37</v>
      </c>
      <c r="B245">
        <v>1</v>
      </c>
    </row>
    <row r="246" spans="1:2" x14ac:dyDescent="0.25">
      <c r="A246" s="11">
        <v>1711.8883940000001</v>
      </c>
      <c r="B246">
        <v>1</v>
      </c>
    </row>
    <row r="247" spans="1:2" x14ac:dyDescent="0.25">
      <c r="A247" s="12" t="s">
        <v>37</v>
      </c>
      <c r="B247">
        <v>1</v>
      </c>
    </row>
    <row r="248" spans="1:2" x14ac:dyDescent="0.25">
      <c r="A248" s="11">
        <v>1412.308012</v>
      </c>
      <c r="B248">
        <v>1</v>
      </c>
    </row>
    <row r="249" spans="1:2" x14ac:dyDescent="0.25">
      <c r="A249" s="12" t="s">
        <v>37</v>
      </c>
      <c r="B249">
        <v>1</v>
      </c>
    </row>
    <row r="250" spans="1:2" x14ac:dyDescent="0.25">
      <c r="A250" s="11">
        <v>2068.7325839999999</v>
      </c>
      <c r="B250">
        <v>1</v>
      </c>
    </row>
    <row r="251" spans="1:2" x14ac:dyDescent="0.25">
      <c r="A251" s="12" t="s">
        <v>37</v>
      </c>
      <c r="B251">
        <v>1</v>
      </c>
    </row>
    <row r="252" spans="1:2" x14ac:dyDescent="0.25">
      <c r="A252" s="11">
        <v>1465.868579</v>
      </c>
      <c r="B252">
        <v>1</v>
      </c>
    </row>
    <row r="253" spans="1:2" x14ac:dyDescent="0.25">
      <c r="A253" s="12" t="s">
        <v>37</v>
      </c>
      <c r="B253">
        <v>1</v>
      </c>
    </row>
    <row r="254" spans="1:2" x14ac:dyDescent="0.25">
      <c r="A254" s="11">
        <v>1715.888132</v>
      </c>
      <c r="B254">
        <v>1</v>
      </c>
    </row>
    <row r="255" spans="1:2" x14ac:dyDescent="0.25">
      <c r="A255" s="12" t="s">
        <v>37</v>
      </c>
      <c r="B255">
        <v>1</v>
      </c>
    </row>
    <row r="256" spans="1:2" x14ac:dyDescent="0.25">
      <c r="A256" s="11">
        <v>1409.5972489999999</v>
      </c>
      <c r="B256">
        <v>1</v>
      </c>
    </row>
    <row r="257" spans="1:2" x14ac:dyDescent="0.25">
      <c r="A257" s="12" t="s">
        <v>37</v>
      </c>
      <c r="B257">
        <v>1</v>
      </c>
    </row>
    <row r="258" spans="1:2" x14ac:dyDescent="0.25">
      <c r="A258" s="11">
        <v>1719.906604</v>
      </c>
      <c r="B258">
        <v>1</v>
      </c>
    </row>
    <row r="259" spans="1:2" x14ac:dyDescent="0.25">
      <c r="A259" s="12" t="s">
        <v>36</v>
      </c>
      <c r="B259">
        <v>1</v>
      </c>
    </row>
    <row r="260" spans="1:2" x14ac:dyDescent="0.25">
      <c r="A260" s="11">
        <v>1995.6523870000001</v>
      </c>
      <c r="B260">
        <v>1</v>
      </c>
    </row>
    <row r="261" spans="1:2" x14ac:dyDescent="0.25">
      <c r="A261" s="12" t="s">
        <v>37</v>
      </c>
      <c r="B261">
        <v>1</v>
      </c>
    </row>
    <row r="262" spans="1:2" x14ac:dyDescent="0.25">
      <c r="A262" s="11">
        <v>1728.0002790000001</v>
      </c>
      <c r="B262">
        <v>1</v>
      </c>
    </row>
    <row r="263" spans="1:2" x14ac:dyDescent="0.25">
      <c r="A263" s="12" t="s">
        <v>36</v>
      </c>
      <c r="B263">
        <v>1</v>
      </c>
    </row>
    <row r="264" spans="1:2" x14ac:dyDescent="0.25">
      <c r="A264" s="11">
        <v>2017.5826239999999</v>
      </c>
      <c r="B264">
        <v>1</v>
      </c>
    </row>
    <row r="265" spans="1:2" x14ac:dyDescent="0.25">
      <c r="A265" s="12" t="s">
        <v>37</v>
      </c>
      <c r="B265">
        <v>1</v>
      </c>
    </row>
    <row r="266" spans="1:2" x14ac:dyDescent="0.25">
      <c r="A266" s="11">
        <v>1752.7449039999999</v>
      </c>
      <c r="B266">
        <v>1</v>
      </c>
    </row>
    <row r="267" spans="1:2" x14ac:dyDescent="0.25">
      <c r="A267" s="12" t="s">
        <v>37</v>
      </c>
      <c r="B267">
        <v>1</v>
      </c>
    </row>
    <row r="268" spans="1:2" x14ac:dyDescent="0.25">
      <c r="A268" s="11">
        <v>2541.1764579999999</v>
      </c>
      <c r="B268">
        <v>1</v>
      </c>
    </row>
    <row r="269" spans="1:2" x14ac:dyDescent="0.25">
      <c r="A269" s="12" t="s">
        <v>36</v>
      </c>
      <c r="B269">
        <v>1</v>
      </c>
    </row>
    <row r="270" spans="1:2" x14ac:dyDescent="0.25">
      <c r="A270" s="11">
        <v>1800.000264</v>
      </c>
      <c r="B270">
        <v>1</v>
      </c>
    </row>
    <row r="271" spans="1:2" x14ac:dyDescent="0.25">
      <c r="A271" s="12" t="s">
        <v>37</v>
      </c>
      <c r="B271">
        <v>1</v>
      </c>
    </row>
    <row r="272" spans="1:2" x14ac:dyDescent="0.25">
      <c r="A272" s="11">
        <v>2287.8505740000001</v>
      </c>
      <c r="B272">
        <v>1</v>
      </c>
    </row>
    <row r="273" spans="1:2" x14ac:dyDescent="0.25">
      <c r="A273" s="12" t="s">
        <v>37</v>
      </c>
      <c r="B273">
        <v>1</v>
      </c>
    </row>
    <row r="274" spans="1:2" x14ac:dyDescent="0.25">
      <c r="A274" s="11">
        <v>1808.8672570000001</v>
      </c>
      <c r="B274">
        <v>1</v>
      </c>
    </row>
    <row r="275" spans="1:2" x14ac:dyDescent="0.25">
      <c r="A275" s="12" t="s">
        <v>37</v>
      </c>
      <c r="B275">
        <v>1</v>
      </c>
    </row>
    <row r="276" spans="1:2" x14ac:dyDescent="0.25">
      <c r="A276" s="11">
        <v>1873.4696349999999</v>
      </c>
      <c r="B276">
        <v>1</v>
      </c>
    </row>
    <row r="277" spans="1:2" x14ac:dyDescent="0.25">
      <c r="A277" s="12" t="s">
        <v>36</v>
      </c>
      <c r="B277">
        <v>1</v>
      </c>
    </row>
    <row r="278" spans="1:2" x14ac:dyDescent="0.25">
      <c r="A278" s="11">
        <v>1813.3335950000001</v>
      </c>
      <c r="B278">
        <v>1</v>
      </c>
    </row>
    <row r="279" spans="1:2" x14ac:dyDescent="0.25">
      <c r="A279" s="12" t="s">
        <v>37</v>
      </c>
      <c r="B279">
        <v>1</v>
      </c>
    </row>
    <row r="280" spans="1:2" x14ac:dyDescent="0.25">
      <c r="A280" s="11">
        <v>2316.7193379999999</v>
      </c>
      <c r="B280">
        <v>1</v>
      </c>
    </row>
    <row r="281" spans="1:2" x14ac:dyDescent="0.25">
      <c r="A281" s="12" t="s">
        <v>37</v>
      </c>
      <c r="B281">
        <v>1</v>
      </c>
    </row>
    <row r="282" spans="1:2" x14ac:dyDescent="0.25">
      <c r="A282" s="11">
        <v>1603.4937500000001</v>
      </c>
      <c r="B282">
        <v>1</v>
      </c>
    </row>
    <row r="283" spans="1:2" x14ac:dyDescent="0.25">
      <c r="A283" s="12" t="s">
        <v>36</v>
      </c>
      <c r="B283">
        <v>1</v>
      </c>
    </row>
    <row r="284" spans="1:2" x14ac:dyDescent="0.25">
      <c r="A284" s="11">
        <v>1907.5327050000001</v>
      </c>
      <c r="B284">
        <v>1</v>
      </c>
    </row>
    <row r="285" spans="1:2" x14ac:dyDescent="0.25">
      <c r="A285" s="12" t="s">
        <v>36</v>
      </c>
      <c r="B285">
        <v>1</v>
      </c>
    </row>
    <row r="286" spans="1:2" x14ac:dyDescent="0.25">
      <c r="A286" s="11">
        <v>1610.526615</v>
      </c>
      <c r="B286">
        <v>1</v>
      </c>
    </row>
    <row r="287" spans="1:2" x14ac:dyDescent="0.25">
      <c r="A287" s="12" t="s">
        <v>37</v>
      </c>
      <c r="B287">
        <v>1</v>
      </c>
    </row>
    <row r="288" spans="1:2" x14ac:dyDescent="0.25">
      <c r="A288" s="11">
        <v>1917.493708</v>
      </c>
      <c r="B288">
        <v>1</v>
      </c>
    </row>
    <row r="289" spans="1:2" x14ac:dyDescent="0.25">
      <c r="A289" s="12" t="s">
        <v>36</v>
      </c>
      <c r="B289">
        <v>1</v>
      </c>
    </row>
    <row r="290" spans="1:2" x14ac:dyDescent="0.25">
      <c r="A290" s="11">
        <v>1621.19235</v>
      </c>
      <c r="B290">
        <v>1</v>
      </c>
    </row>
    <row r="291" spans="1:2" x14ac:dyDescent="0.25">
      <c r="A291" s="12" t="s">
        <v>36</v>
      </c>
      <c r="B291">
        <v>1</v>
      </c>
    </row>
    <row r="292" spans="1:2" x14ac:dyDescent="0.25">
      <c r="A292" s="11">
        <v>1360.0003220000001</v>
      </c>
      <c r="B292">
        <v>1</v>
      </c>
    </row>
    <row r="293" spans="1:2" x14ac:dyDescent="0.25">
      <c r="A293" s="12" t="s">
        <v>37</v>
      </c>
      <c r="B293">
        <v>1</v>
      </c>
    </row>
    <row r="294" spans="1:2" x14ac:dyDescent="0.25">
      <c r="A294" s="11">
        <v>1859.240757</v>
      </c>
      <c r="B294">
        <v>1</v>
      </c>
    </row>
    <row r="295" spans="1:2" x14ac:dyDescent="0.25">
      <c r="A295" s="12" t="s">
        <v>36</v>
      </c>
      <c r="B295">
        <v>1</v>
      </c>
    </row>
    <row r="296" spans="1:2" x14ac:dyDescent="0.25">
      <c r="A296" s="11">
        <v>1642.9533140000001</v>
      </c>
      <c r="B296">
        <v>1</v>
      </c>
    </row>
    <row r="297" spans="1:2" x14ac:dyDescent="0.25">
      <c r="A297" s="12" t="s">
        <v>37</v>
      </c>
      <c r="B297">
        <v>1</v>
      </c>
    </row>
    <row r="298" spans="1:2" x14ac:dyDescent="0.25">
      <c r="A298" s="11">
        <v>1863.95964</v>
      </c>
      <c r="B298">
        <v>1</v>
      </c>
    </row>
    <row r="299" spans="1:2" x14ac:dyDescent="0.25">
      <c r="A299" s="12" t="s">
        <v>36</v>
      </c>
      <c r="B299">
        <v>1</v>
      </c>
    </row>
    <row r="300" spans="1:2" x14ac:dyDescent="0.25">
      <c r="A300" s="11">
        <v>1508.008525</v>
      </c>
      <c r="B300">
        <v>1</v>
      </c>
    </row>
    <row r="301" spans="1:2" x14ac:dyDescent="0.25">
      <c r="A301" s="12" t="s">
        <v>37</v>
      </c>
      <c r="B301">
        <v>1</v>
      </c>
    </row>
    <row r="302" spans="1:2" x14ac:dyDescent="0.25">
      <c r="A302" s="11">
        <v>2192.2389520000002</v>
      </c>
      <c r="B302">
        <v>1</v>
      </c>
    </row>
    <row r="303" spans="1:2" x14ac:dyDescent="0.25">
      <c r="A303" s="12" t="s">
        <v>37</v>
      </c>
      <c r="B303">
        <v>1</v>
      </c>
    </row>
    <row r="304" spans="1:2" x14ac:dyDescent="0.25">
      <c r="A304" s="11">
        <v>1442.8293940000001</v>
      </c>
      <c r="B304">
        <v>1</v>
      </c>
    </row>
    <row r="305" spans="1:2" x14ac:dyDescent="0.25">
      <c r="A305" s="12" t="s">
        <v>37</v>
      </c>
      <c r="B305">
        <v>1</v>
      </c>
    </row>
    <row r="306" spans="1:2" x14ac:dyDescent="0.25">
      <c r="A306" s="11">
        <v>2198.8025379999999</v>
      </c>
      <c r="B306">
        <v>1</v>
      </c>
    </row>
    <row r="307" spans="1:2" x14ac:dyDescent="0.25">
      <c r="A307" s="12" t="s">
        <v>37</v>
      </c>
      <c r="B307">
        <v>1</v>
      </c>
    </row>
    <row r="308" spans="1:2" x14ac:dyDescent="0.25">
      <c r="A308" s="11">
        <v>2448.0000340000001</v>
      </c>
      <c r="B308">
        <v>1</v>
      </c>
    </row>
    <row r="309" spans="1:2" x14ac:dyDescent="0.25">
      <c r="A309" s="12" t="s">
        <v>37</v>
      </c>
      <c r="B309">
        <v>1</v>
      </c>
    </row>
    <row r="310" spans="1:2" x14ac:dyDescent="0.25">
      <c r="A310" s="11">
        <v>2205.405546</v>
      </c>
      <c r="B310">
        <v>1</v>
      </c>
    </row>
    <row r="311" spans="1:2" x14ac:dyDescent="0.25">
      <c r="A311" s="12" t="s">
        <v>36</v>
      </c>
      <c r="B311">
        <v>1</v>
      </c>
    </row>
    <row r="312" spans="1:2" x14ac:dyDescent="0.25">
      <c r="A312" s="11">
        <v>2472.7272950000001</v>
      </c>
      <c r="B312">
        <v>1</v>
      </c>
    </row>
    <row r="313" spans="1:2" x14ac:dyDescent="0.25">
      <c r="A313" s="12" t="s">
        <v>37</v>
      </c>
      <c r="B313">
        <v>1</v>
      </c>
    </row>
    <row r="314" spans="1:2" x14ac:dyDescent="0.25">
      <c r="A314" s="11">
        <v>2239.0245169999998</v>
      </c>
      <c r="B314">
        <v>1</v>
      </c>
    </row>
    <row r="315" spans="1:2" x14ac:dyDescent="0.25">
      <c r="A315" s="12" t="s">
        <v>36</v>
      </c>
      <c r="B315">
        <v>1</v>
      </c>
    </row>
    <row r="316" spans="1:2" x14ac:dyDescent="0.25">
      <c r="A316" s="11">
        <v>2506.4846470000002</v>
      </c>
      <c r="B316">
        <v>1</v>
      </c>
    </row>
    <row r="317" spans="1:2" x14ac:dyDescent="0.25">
      <c r="A317" s="12" t="s">
        <v>36</v>
      </c>
      <c r="B317">
        <v>1</v>
      </c>
    </row>
    <row r="318" spans="1:2" x14ac:dyDescent="0.25">
      <c r="A318" s="11">
        <v>2266.6667830000001</v>
      </c>
      <c r="B318">
        <v>1</v>
      </c>
    </row>
    <row r="319" spans="1:2" x14ac:dyDescent="0.25">
      <c r="A319" s="12" t="s">
        <v>37</v>
      </c>
      <c r="B319">
        <v>1</v>
      </c>
    </row>
    <row r="320" spans="1:2" x14ac:dyDescent="0.25">
      <c r="A320" s="11">
        <v>1526.819436</v>
      </c>
      <c r="B320">
        <v>1</v>
      </c>
    </row>
    <row r="321" spans="1:2" x14ac:dyDescent="0.25">
      <c r="A321" s="12" t="s">
        <v>36</v>
      </c>
      <c r="B321">
        <v>1</v>
      </c>
    </row>
    <row r="322" spans="1:2" x14ac:dyDescent="0.25">
      <c r="A322" s="11">
        <v>2273.6843239999998</v>
      </c>
      <c r="B322">
        <v>1</v>
      </c>
    </row>
    <row r="323" spans="1:2" x14ac:dyDescent="0.25">
      <c r="A323" s="12" t="s">
        <v>37</v>
      </c>
      <c r="B323">
        <v>1</v>
      </c>
    </row>
    <row r="324" spans="1:2" x14ac:dyDescent="0.25">
      <c r="A324" s="11" t="s">
        <v>16</v>
      </c>
      <c r="B324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063E-81AA-4F9D-9B48-F9E34167AC73}">
  <dimension ref="A1:F65"/>
  <sheetViews>
    <sheetView workbookViewId="0">
      <selection activeCell="N21" sqref="N21"/>
    </sheetView>
  </sheetViews>
  <sheetFormatPr defaultRowHeight="15" x14ac:dyDescent="0.25"/>
  <cols>
    <col min="1" max="1" width="18.85546875" bestFit="1" customWidth="1"/>
    <col min="2" max="2" width="24.140625" bestFit="1" customWidth="1"/>
    <col min="3" max="3" width="25.140625" bestFit="1" customWidth="1"/>
    <col min="4" max="4" width="18.85546875" style="14" bestFit="1" customWidth="1"/>
    <col min="5" max="5" width="24.140625" bestFit="1" customWidth="1"/>
    <col min="6" max="6" width="25.140625" bestFit="1" customWidth="1"/>
  </cols>
  <sheetData>
    <row r="1" spans="1:6" x14ac:dyDescent="0.25">
      <c r="A1" s="20" t="s">
        <v>26</v>
      </c>
      <c r="B1" s="21"/>
      <c r="C1" s="21"/>
      <c r="D1" s="22" t="s">
        <v>29</v>
      </c>
      <c r="E1" s="21"/>
      <c r="F1" s="21"/>
    </row>
    <row r="2" spans="1:6" x14ac:dyDescent="0.25">
      <c r="A2" s="10" t="s">
        <v>7</v>
      </c>
      <c r="B2" t="s">
        <v>25</v>
      </c>
      <c r="C2" t="s">
        <v>19</v>
      </c>
      <c r="D2" s="10" t="s">
        <v>7</v>
      </c>
      <c r="E2" t="s">
        <v>25</v>
      </c>
      <c r="F2" t="s">
        <v>19</v>
      </c>
    </row>
    <row r="3" spans="1:6" x14ac:dyDescent="0.25">
      <c r="A3" s="11">
        <v>2400.0000570000002</v>
      </c>
      <c r="B3">
        <v>68</v>
      </c>
      <c r="C3">
        <v>3</v>
      </c>
      <c r="D3" s="11">
        <v>2179.2286370000002</v>
      </c>
      <c r="E3">
        <v>76.430000000000007</v>
      </c>
      <c r="F3">
        <v>2</v>
      </c>
    </row>
    <row r="4" spans="1:6" x14ac:dyDescent="0.25">
      <c r="A4" s="11">
        <v>2160.0001579999998</v>
      </c>
      <c r="B4">
        <v>82.726666666666674</v>
      </c>
      <c r="C4">
        <v>3</v>
      </c>
      <c r="D4" s="11">
        <v>2153.665849</v>
      </c>
      <c r="E4">
        <v>73.435000000000002</v>
      </c>
      <c r="F4">
        <v>2</v>
      </c>
    </row>
    <row r="5" spans="1:6" x14ac:dyDescent="0.25">
      <c r="A5" s="11">
        <v>2141.1080360000001</v>
      </c>
      <c r="B5">
        <v>76.39</v>
      </c>
      <c r="C5">
        <v>3</v>
      </c>
      <c r="D5" s="11">
        <v>2141.1080360000001</v>
      </c>
      <c r="E5">
        <v>67.634999999999991</v>
      </c>
      <c r="F5">
        <v>2</v>
      </c>
    </row>
    <row r="6" spans="1:6" x14ac:dyDescent="0.25">
      <c r="A6" s="11">
        <v>2153.665849</v>
      </c>
      <c r="B6">
        <v>85.35333333333331</v>
      </c>
      <c r="C6">
        <v>3</v>
      </c>
      <c r="D6" s="11">
        <v>1632.0002959999999</v>
      </c>
      <c r="E6">
        <v>61.594999999999999</v>
      </c>
      <c r="F6">
        <v>2</v>
      </c>
    </row>
    <row r="7" spans="1:6" x14ac:dyDescent="0.25">
      <c r="A7" s="11">
        <v>2376.6990970000002</v>
      </c>
      <c r="B7">
        <v>70.97</v>
      </c>
      <c r="C7">
        <v>2</v>
      </c>
      <c r="D7" s="11">
        <v>2166.3718370000001</v>
      </c>
      <c r="E7">
        <v>83.875</v>
      </c>
      <c r="F7">
        <v>2</v>
      </c>
    </row>
    <row r="8" spans="1:6" x14ac:dyDescent="0.25">
      <c r="A8" s="11">
        <v>2415.7895229999999</v>
      </c>
      <c r="B8">
        <v>69.305000000000007</v>
      </c>
      <c r="C8">
        <v>2</v>
      </c>
      <c r="D8" s="11">
        <v>1661.538753</v>
      </c>
      <c r="E8">
        <v>65.22</v>
      </c>
      <c r="F8">
        <v>2</v>
      </c>
    </row>
    <row r="9" spans="1:6" x14ac:dyDescent="0.25">
      <c r="A9" s="11">
        <v>2128.6958209999998</v>
      </c>
      <c r="B9">
        <v>70.704999999999998</v>
      </c>
      <c r="C9">
        <v>2</v>
      </c>
      <c r="D9" s="11">
        <v>2353.8462319999999</v>
      </c>
      <c r="E9">
        <v>90.165000000000006</v>
      </c>
      <c r="F9">
        <v>2</v>
      </c>
    </row>
    <row r="10" spans="1:6" x14ac:dyDescent="0.25">
      <c r="A10" s="11">
        <v>1661.538753</v>
      </c>
      <c r="B10">
        <v>72.09</v>
      </c>
      <c r="C10">
        <v>2</v>
      </c>
      <c r="D10" s="11">
        <v>1669.091199</v>
      </c>
      <c r="E10">
        <v>74.835000000000008</v>
      </c>
      <c r="F10">
        <v>2</v>
      </c>
    </row>
    <row r="11" spans="1:6" x14ac:dyDescent="0.25">
      <c r="A11" s="11">
        <v>2295.0001040000002</v>
      </c>
      <c r="B11">
        <v>72.905000000000001</v>
      </c>
      <c r="C11">
        <v>2</v>
      </c>
      <c r="D11" s="11">
        <v>2147.3685829999999</v>
      </c>
      <c r="E11">
        <v>68.034999999999997</v>
      </c>
      <c r="F11">
        <v>2</v>
      </c>
    </row>
    <row r="12" spans="1:6" x14ac:dyDescent="0.25">
      <c r="A12" s="11">
        <v>2147.3685829999999</v>
      </c>
      <c r="B12">
        <v>73.900000000000006</v>
      </c>
      <c r="C12">
        <v>2</v>
      </c>
      <c r="D12" s="11">
        <v>1696.074188</v>
      </c>
      <c r="E12">
        <v>88.41</v>
      </c>
      <c r="F12">
        <v>2</v>
      </c>
    </row>
    <row r="13" spans="1:6" x14ac:dyDescent="0.25">
      <c r="A13" s="11">
        <v>2384.415649</v>
      </c>
      <c r="B13">
        <v>78.60499999999999</v>
      </c>
      <c r="C13">
        <v>2</v>
      </c>
      <c r="D13" s="11">
        <v>2160.0001579999998</v>
      </c>
      <c r="E13">
        <v>84.27</v>
      </c>
      <c r="F13">
        <v>2</v>
      </c>
    </row>
    <row r="14" spans="1:6" x14ac:dyDescent="0.25">
      <c r="A14" s="11">
        <v>2423.7624219999998</v>
      </c>
      <c r="B14">
        <v>51.814999999999998</v>
      </c>
      <c r="C14">
        <v>2</v>
      </c>
      <c r="D14" s="11">
        <v>1700.000284</v>
      </c>
      <c r="E14">
        <v>74.03</v>
      </c>
      <c r="F14">
        <v>2</v>
      </c>
    </row>
    <row r="15" spans="1:6" x14ac:dyDescent="0.25">
      <c r="A15" s="11">
        <v>2407.8689060000002</v>
      </c>
      <c r="B15">
        <v>87.925000000000011</v>
      </c>
      <c r="C15">
        <v>2</v>
      </c>
      <c r="D15" s="11">
        <v>2172.7812180000001</v>
      </c>
      <c r="E15">
        <v>88.63</v>
      </c>
      <c r="F15">
        <v>2</v>
      </c>
    </row>
    <row r="16" spans="1:6" x14ac:dyDescent="0.25">
      <c r="A16" s="11">
        <v>2122.5435240000002</v>
      </c>
      <c r="B16">
        <v>74.72</v>
      </c>
      <c r="C16">
        <v>2</v>
      </c>
      <c r="D16" s="11">
        <v>1822.3327650000001</v>
      </c>
      <c r="E16">
        <v>63.445</v>
      </c>
      <c r="F16">
        <v>2</v>
      </c>
    </row>
    <row r="17" spans="1:6" x14ac:dyDescent="0.25">
      <c r="A17" s="11">
        <v>2134.8838879999998</v>
      </c>
      <c r="B17">
        <v>82.935000000000002</v>
      </c>
      <c r="C17">
        <v>2</v>
      </c>
      <c r="D17" s="11">
        <v>2346.3259600000001</v>
      </c>
      <c r="E17">
        <v>72.905000000000001</v>
      </c>
      <c r="F17">
        <v>2</v>
      </c>
    </row>
    <row r="18" spans="1:6" x14ac:dyDescent="0.25">
      <c r="A18" s="11">
        <v>2166.3718370000001</v>
      </c>
      <c r="B18">
        <v>60.534999999999997</v>
      </c>
      <c r="C18">
        <v>2</v>
      </c>
      <c r="D18" s="11">
        <v>2361.4148660000001</v>
      </c>
      <c r="E18">
        <v>96.22</v>
      </c>
      <c r="F18">
        <v>2</v>
      </c>
    </row>
    <row r="19" spans="1:6" x14ac:dyDescent="0.25">
      <c r="A19" s="11">
        <v>2456.1873209999999</v>
      </c>
      <c r="B19">
        <v>59.265000000000001</v>
      </c>
      <c r="C19">
        <v>2</v>
      </c>
      <c r="D19" s="11">
        <v>2134.8838879999998</v>
      </c>
      <c r="E19">
        <v>66.38</v>
      </c>
      <c r="F19">
        <v>2</v>
      </c>
    </row>
    <row r="20" spans="1:6" x14ac:dyDescent="0.25">
      <c r="A20" s="11">
        <v>1508.008525</v>
      </c>
      <c r="B20">
        <v>46.37</v>
      </c>
      <c r="C20">
        <v>1</v>
      </c>
      <c r="D20" s="11">
        <v>2369.03233</v>
      </c>
      <c r="E20">
        <v>74.914999999999992</v>
      </c>
      <c r="F20">
        <v>2</v>
      </c>
    </row>
    <row r="21" spans="1:6" x14ac:dyDescent="0.25">
      <c r="A21" s="11">
        <v>2198.8025379999999</v>
      </c>
      <c r="B21">
        <v>69.790000000000006</v>
      </c>
      <c r="C21">
        <v>1</v>
      </c>
      <c r="D21" s="11">
        <v>2280.7454520000001</v>
      </c>
      <c r="E21">
        <v>37.369999999999997</v>
      </c>
      <c r="F21">
        <v>1</v>
      </c>
    </row>
    <row r="22" spans="1:6" x14ac:dyDescent="0.25">
      <c r="A22" s="11">
        <v>1465.868579</v>
      </c>
      <c r="B22">
        <v>66.83</v>
      </c>
      <c r="C22">
        <v>1</v>
      </c>
      <c r="D22" s="11">
        <v>1468.800315</v>
      </c>
      <c r="E22">
        <v>66.83</v>
      </c>
      <c r="F22">
        <v>1</v>
      </c>
    </row>
    <row r="23" spans="1:6" x14ac:dyDescent="0.25">
      <c r="A23" s="11">
        <v>1800.000264</v>
      </c>
      <c r="B23">
        <v>67.17</v>
      </c>
      <c r="C23">
        <v>1</v>
      </c>
      <c r="D23" s="11">
        <v>1711.8883940000001</v>
      </c>
      <c r="E23">
        <v>12.47</v>
      </c>
      <c r="F23">
        <v>1</v>
      </c>
    </row>
    <row r="24" spans="1:6" x14ac:dyDescent="0.25">
      <c r="A24" s="11">
        <v>2309.43406</v>
      </c>
      <c r="B24">
        <v>60.04</v>
      </c>
      <c r="C24">
        <v>1</v>
      </c>
      <c r="D24" s="11">
        <v>1715.888132</v>
      </c>
      <c r="E24">
        <v>17.93</v>
      </c>
      <c r="F24">
        <v>1</v>
      </c>
    </row>
    <row r="25" spans="1:6" x14ac:dyDescent="0.25">
      <c r="A25" s="11">
        <v>1822.3327650000001</v>
      </c>
      <c r="B25">
        <v>11</v>
      </c>
      <c r="C25">
        <v>1</v>
      </c>
      <c r="D25" s="11">
        <v>1692.1661839999999</v>
      </c>
      <c r="E25">
        <v>92.07</v>
      </c>
      <c r="F25">
        <v>1</v>
      </c>
    </row>
    <row r="26" spans="1:6" x14ac:dyDescent="0.25">
      <c r="A26" s="11">
        <v>1610.526615</v>
      </c>
      <c r="B26">
        <v>87.56</v>
      </c>
      <c r="C26">
        <v>1</v>
      </c>
      <c r="D26" s="11">
        <v>1752.7449039999999</v>
      </c>
      <c r="E26">
        <v>74.010000000000005</v>
      </c>
      <c r="F26">
        <v>1</v>
      </c>
    </row>
    <row r="27" spans="1:6" x14ac:dyDescent="0.25">
      <c r="A27" s="11">
        <v>1892.7837469999999</v>
      </c>
      <c r="B27">
        <v>25.43</v>
      </c>
      <c r="C27">
        <v>1</v>
      </c>
      <c r="D27" s="11">
        <v>2309.43406</v>
      </c>
      <c r="E27">
        <v>16.28</v>
      </c>
      <c r="F27">
        <v>1</v>
      </c>
    </row>
    <row r="28" spans="1:6" x14ac:dyDescent="0.25">
      <c r="A28" s="11">
        <v>1471.743802</v>
      </c>
      <c r="B28">
        <v>76.61</v>
      </c>
      <c r="C28">
        <v>1</v>
      </c>
      <c r="D28" s="11">
        <v>1808.8672570000001</v>
      </c>
      <c r="E28">
        <v>48.84</v>
      </c>
      <c r="F28">
        <v>1</v>
      </c>
    </row>
    <row r="29" spans="1:6" x14ac:dyDescent="0.25">
      <c r="A29" s="11">
        <v>1912.500237</v>
      </c>
      <c r="B29">
        <v>65.75</v>
      </c>
      <c r="C29">
        <v>1</v>
      </c>
      <c r="D29" s="11">
        <v>1642.9533140000001</v>
      </c>
      <c r="E29">
        <v>51.3</v>
      </c>
      <c r="F29">
        <v>1</v>
      </c>
    </row>
    <row r="30" spans="1:6" x14ac:dyDescent="0.25">
      <c r="A30" s="11">
        <v>1495.7233269999999</v>
      </c>
      <c r="B30">
        <v>69.569999999999993</v>
      </c>
      <c r="C30">
        <v>1</v>
      </c>
      <c r="D30" s="11">
        <v>1813.3335950000001</v>
      </c>
      <c r="E30">
        <v>51.39</v>
      </c>
      <c r="F30">
        <v>1</v>
      </c>
    </row>
    <row r="31" spans="1:6" x14ac:dyDescent="0.25">
      <c r="A31" s="11">
        <v>2001.09013</v>
      </c>
      <c r="B31">
        <v>67.86</v>
      </c>
      <c r="C31">
        <v>1</v>
      </c>
      <c r="D31" s="11">
        <v>1471.743802</v>
      </c>
      <c r="E31">
        <v>64.290000000000006</v>
      </c>
      <c r="F31">
        <v>1</v>
      </c>
    </row>
    <row r="32" spans="1:6" x14ac:dyDescent="0.25">
      <c r="A32" s="11">
        <v>2361.4148660000001</v>
      </c>
      <c r="B32">
        <v>72.209999999999994</v>
      </c>
      <c r="C32">
        <v>1</v>
      </c>
      <c r="D32" s="11">
        <v>1817.822042</v>
      </c>
      <c r="E32">
        <v>50.88</v>
      </c>
      <c r="F32">
        <v>1</v>
      </c>
    </row>
    <row r="33" spans="1:6" x14ac:dyDescent="0.25">
      <c r="A33" s="11">
        <v>2006.557587</v>
      </c>
      <c r="B33">
        <v>66.959999999999994</v>
      </c>
      <c r="C33">
        <v>1</v>
      </c>
      <c r="D33" s="11">
        <v>2192.2389520000002</v>
      </c>
      <c r="E33">
        <v>54.01</v>
      </c>
      <c r="F33">
        <v>1</v>
      </c>
    </row>
    <row r="34" spans="1:6" x14ac:dyDescent="0.25">
      <c r="A34" s="11">
        <v>2392.1824710000001</v>
      </c>
      <c r="B34">
        <v>74.150000000000006</v>
      </c>
      <c r="C34">
        <v>1</v>
      </c>
      <c r="D34" s="11">
        <v>1628.3816710000001</v>
      </c>
      <c r="E34">
        <v>24.23</v>
      </c>
      <c r="F34">
        <v>1</v>
      </c>
    </row>
    <row r="35" spans="1:6" x14ac:dyDescent="0.25">
      <c r="A35" s="11">
        <v>2017.5826239999999</v>
      </c>
      <c r="B35">
        <v>67.989999999999995</v>
      </c>
      <c r="C35">
        <v>1</v>
      </c>
      <c r="D35" s="11">
        <v>2295.0001040000002</v>
      </c>
      <c r="E35">
        <v>26</v>
      </c>
      <c r="F35">
        <v>1</v>
      </c>
    </row>
    <row r="36" spans="1:6" x14ac:dyDescent="0.25">
      <c r="A36" s="11">
        <v>1665.306413</v>
      </c>
      <c r="B36">
        <v>69.72</v>
      </c>
      <c r="C36">
        <v>1</v>
      </c>
      <c r="D36" s="11">
        <v>1826.8659299999999</v>
      </c>
      <c r="E36">
        <v>74.099999999999994</v>
      </c>
      <c r="F36">
        <v>1</v>
      </c>
    </row>
    <row r="37" spans="1:6" x14ac:dyDescent="0.25">
      <c r="A37" s="11">
        <v>2023.1406999999999</v>
      </c>
      <c r="B37">
        <v>77.709999999999994</v>
      </c>
      <c r="C37">
        <v>1</v>
      </c>
      <c r="D37" s="11">
        <v>1593.0588700000001</v>
      </c>
      <c r="E37">
        <v>34.5</v>
      </c>
      <c r="F37">
        <v>1</v>
      </c>
    </row>
    <row r="38" spans="1:6" x14ac:dyDescent="0.25">
      <c r="A38" s="11">
        <v>1468.800315</v>
      </c>
      <c r="B38">
        <v>63.45</v>
      </c>
      <c r="C38">
        <v>1</v>
      </c>
      <c r="D38" s="11">
        <v>1878.261115</v>
      </c>
      <c r="E38">
        <v>69.56</v>
      </c>
      <c r="F38">
        <v>1</v>
      </c>
    </row>
    <row r="39" spans="1:6" x14ac:dyDescent="0.25">
      <c r="A39" s="11">
        <v>2028.729484</v>
      </c>
      <c r="B39">
        <v>68.11</v>
      </c>
      <c r="C39">
        <v>1</v>
      </c>
      <c r="D39" s="11">
        <v>1635.635039</v>
      </c>
      <c r="E39">
        <v>70.41</v>
      </c>
      <c r="F39">
        <v>1</v>
      </c>
    </row>
    <row r="40" spans="1:6" x14ac:dyDescent="0.25">
      <c r="A40" s="11">
        <v>2172.7812180000001</v>
      </c>
      <c r="B40">
        <v>69.400000000000006</v>
      </c>
      <c r="C40">
        <v>1</v>
      </c>
      <c r="D40" s="11">
        <v>1922.5133229999999</v>
      </c>
      <c r="E40">
        <v>58.23</v>
      </c>
      <c r="F40">
        <v>1</v>
      </c>
    </row>
    <row r="41" spans="1:6" x14ac:dyDescent="0.25">
      <c r="A41" s="11">
        <v>2431.7881219999999</v>
      </c>
      <c r="B41">
        <v>67.02</v>
      </c>
      <c r="C41">
        <v>1</v>
      </c>
      <c r="D41" s="11">
        <v>1657.788102</v>
      </c>
      <c r="E41">
        <v>53.53</v>
      </c>
      <c r="F41">
        <v>1</v>
      </c>
    </row>
    <row r="42" spans="1:6" x14ac:dyDescent="0.25">
      <c r="A42" s="11">
        <v>2266.6667830000001</v>
      </c>
      <c r="B42">
        <v>88.08</v>
      </c>
      <c r="C42">
        <v>1</v>
      </c>
      <c r="D42" s="11">
        <v>1412.308012</v>
      </c>
      <c r="E42">
        <v>64.11</v>
      </c>
      <c r="F42">
        <v>1</v>
      </c>
    </row>
    <row r="43" spans="1:6" x14ac:dyDescent="0.25">
      <c r="A43" s="11">
        <v>2472.7272950000001</v>
      </c>
      <c r="B43">
        <v>82.6</v>
      </c>
      <c r="C43">
        <v>1</v>
      </c>
      <c r="D43" s="11">
        <v>1665.306413</v>
      </c>
      <c r="E43">
        <v>50.85</v>
      </c>
      <c r="F43">
        <v>1</v>
      </c>
    </row>
    <row r="44" spans="1:6" x14ac:dyDescent="0.25">
      <c r="A44" s="11">
        <v>2302.1944579999999</v>
      </c>
      <c r="B44">
        <v>13.33</v>
      </c>
      <c r="C44">
        <v>1</v>
      </c>
      <c r="D44" s="11">
        <v>2376.6990970000002</v>
      </c>
      <c r="E44">
        <v>65.27</v>
      </c>
      <c r="F44">
        <v>1</v>
      </c>
    </row>
    <row r="45" spans="1:6" x14ac:dyDescent="0.25">
      <c r="A45" s="11">
        <v>1360.0003220000001</v>
      </c>
      <c r="B45">
        <v>91.04</v>
      </c>
      <c r="C45">
        <v>1</v>
      </c>
      <c r="D45" s="11">
        <v>1672.8932279999999</v>
      </c>
      <c r="E45">
        <v>49.62</v>
      </c>
      <c r="F45">
        <v>1</v>
      </c>
    </row>
    <row r="46" spans="1:6" x14ac:dyDescent="0.25">
      <c r="A46" s="11">
        <v>2324.0507240000002</v>
      </c>
      <c r="B46">
        <v>100</v>
      </c>
      <c r="C46">
        <v>1</v>
      </c>
      <c r="D46" s="11">
        <v>2448.0000340000001</v>
      </c>
      <c r="E46">
        <v>49.58</v>
      </c>
      <c r="F46">
        <v>1</v>
      </c>
    </row>
    <row r="47" spans="1:6" x14ac:dyDescent="0.25">
      <c r="A47" s="11">
        <v>2116.4266859999998</v>
      </c>
      <c r="B47">
        <v>71.72</v>
      </c>
      <c r="C47">
        <v>1</v>
      </c>
      <c r="D47" s="11">
        <v>2185.714434</v>
      </c>
      <c r="E47">
        <v>65</v>
      </c>
      <c r="F47">
        <v>1</v>
      </c>
    </row>
    <row r="48" spans="1:6" x14ac:dyDescent="0.25">
      <c r="A48" s="11">
        <v>2369.03233</v>
      </c>
      <c r="B48">
        <v>80.78</v>
      </c>
      <c r="C48">
        <v>1</v>
      </c>
      <c r="D48" s="11">
        <v>1984.8650809999999</v>
      </c>
      <c r="E48">
        <v>55.07</v>
      </c>
      <c r="F48">
        <v>1</v>
      </c>
    </row>
    <row r="49" spans="1:6" x14ac:dyDescent="0.25">
      <c r="A49" s="11">
        <v>1420.5032200000001</v>
      </c>
      <c r="B49">
        <v>40.700000000000003</v>
      </c>
      <c r="C49">
        <v>1</v>
      </c>
      <c r="D49" s="11">
        <v>2273.6843239999998</v>
      </c>
      <c r="E49">
        <v>25.3</v>
      </c>
      <c r="F49">
        <v>1</v>
      </c>
    </row>
    <row r="50" spans="1:6" x14ac:dyDescent="0.25">
      <c r="A50" s="11">
        <v>1511.1114219999999</v>
      </c>
      <c r="B50">
        <v>91.7</v>
      </c>
      <c r="C50">
        <v>1</v>
      </c>
      <c r="D50" s="11">
        <v>1995.6523870000001</v>
      </c>
      <c r="E50">
        <v>65.12</v>
      </c>
      <c r="F50">
        <v>1</v>
      </c>
    </row>
    <row r="51" spans="1:6" x14ac:dyDescent="0.25">
      <c r="A51" s="11">
        <v>1428.794093</v>
      </c>
      <c r="B51">
        <v>68.14</v>
      </c>
      <c r="C51">
        <v>1</v>
      </c>
      <c r="D51" s="11">
        <v>2287.8505740000001</v>
      </c>
      <c r="E51">
        <v>15.98</v>
      </c>
      <c r="F51">
        <v>1</v>
      </c>
    </row>
    <row r="52" spans="1:6" x14ac:dyDescent="0.25">
      <c r="A52" s="11">
        <v>1533.194463</v>
      </c>
      <c r="B52">
        <v>72.08</v>
      </c>
      <c r="C52">
        <v>1</v>
      </c>
      <c r="D52" s="11">
        <v>2001.09013</v>
      </c>
      <c r="E52">
        <v>92.57</v>
      </c>
      <c r="F52">
        <v>1</v>
      </c>
    </row>
    <row r="53" spans="1:6" x14ac:dyDescent="0.25">
      <c r="A53" s="11">
        <v>1442.8293940000001</v>
      </c>
      <c r="B53">
        <v>25.02</v>
      </c>
      <c r="C53">
        <v>1</v>
      </c>
      <c r="D53" s="11">
        <v>2302.1944579999999</v>
      </c>
      <c r="E53">
        <v>29.82</v>
      </c>
      <c r="F53">
        <v>1</v>
      </c>
    </row>
    <row r="54" spans="1:6" x14ac:dyDescent="0.25">
      <c r="A54" s="11">
        <v>1365.0560840000001</v>
      </c>
      <c r="B54">
        <v>41.46</v>
      </c>
      <c r="C54">
        <v>1</v>
      </c>
      <c r="D54" s="11">
        <v>2006.557587</v>
      </c>
      <c r="E54">
        <v>77.930000000000007</v>
      </c>
      <c r="F54">
        <v>1</v>
      </c>
    </row>
    <row r="55" spans="1:6" x14ac:dyDescent="0.25">
      <c r="A55" s="11">
        <v>1460.0400770000001</v>
      </c>
      <c r="B55">
        <v>38.950000000000003</v>
      </c>
      <c r="C55">
        <v>1</v>
      </c>
      <c r="D55" s="11">
        <v>2316.7193379999999</v>
      </c>
      <c r="E55">
        <v>24.67</v>
      </c>
      <c r="F55">
        <v>1</v>
      </c>
    </row>
    <row r="56" spans="1:6" x14ac:dyDescent="0.25">
      <c r="A56" s="11">
        <v>1669.091199</v>
      </c>
      <c r="B56">
        <v>69.739999999999995</v>
      </c>
      <c r="C56">
        <v>1</v>
      </c>
      <c r="D56" s="11">
        <v>2040.0001990000001</v>
      </c>
      <c r="E56">
        <v>63.06</v>
      </c>
      <c r="F56">
        <v>1</v>
      </c>
    </row>
    <row r="57" spans="1:6" x14ac:dyDescent="0.25">
      <c r="A57" s="11">
        <v>1462.948523</v>
      </c>
      <c r="B57">
        <v>77.58</v>
      </c>
      <c r="C57">
        <v>1</v>
      </c>
      <c r="D57" s="11">
        <v>1624.7790580000001</v>
      </c>
      <c r="E57">
        <v>33.78</v>
      </c>
      <c r="F57">
        <v>1</v>
      </c>
    </row>
    <row r="58" spans="1:6" x14ac:dyDescent="0.25">
      <c r="A58" s="11">
        <v>2034.3492309999999</v>
      </c>
      <c r="B58">
        <v>63.4</v>
      </c>
      <c r="C58">
        <v>1</v>
      </c>
      <c r="D58" s="11">
        <v>2051.396843</v>
      </c>
      <c r="E58">
        <v>82.53</v>
      </c>
      <c r="F58">
        <v>1</v>
      </c>
    </row>
    <row r="59" spans="1:6" x14ac:dyDescent="0.25">
      <c r="A59" s="11">
        <v>2497.9591930000001</v>
      </c>
      <c r="B59">
        <v>16.73</v>
      </c>
      <c r="C59">
        <v>1</v>
      </c>
      <c r="D59" s="11">
        <v>2122.5435240000002</v>
      </c>
      <c r="E59">
        <v>57.83</v>
      </c>
      <c r="F59">
        <v>1</v>
      </c>
    </row>
    <row r="60" spans="1:6" x14ac:dyDescent="0.25">
      <c r="A60" s="11">
        <v>2051.396843</v>
      </c>
      <c r="B60">
        <v>74.209999999999994</v>
      </c>
      <c r="C60">
        <v>1</v>
      </c>
      <c r="D60" s="11">
        <v>1953.1917149999999</v>
      </c>
      <c r="E60">
        <v>69.489999999999995</v>
      </c>
      <c r="F60">
        <v>1</v>
      </c>
    </row>
    <row r="61" spans="1:6" x14ac:dyDescent="0.25">
      <c r="A61" s="11">
        <v>2068.7325839999999</v>
      </c>
      <c r="B61">
        <v>27.35</v>
      </c>
      <c r="C61">
        <v>1</v>
      </c>
      <c r="D61" s="11">
        <v>2384.415649</v>
      </c>
      <c r="E61">
        <v>57.03</v>
      </c>
      <c r="F61">
        <v>1</v>
      </c>
    </row>
    <row r="62" spans="1:6" x14ac:dyDescent="0.25">
      <c r="A62" s="11" t="s">
        <v>16</v>
      </c>
      <c r="B62">
        <v>67.925874999999991</v>
      </c>
      <c r="C62">
        <v>80</v>
      </c>
      <c r="D62" s="11">
        <v>1958.400224</v>
      </c>
      <c r="E62">
        <v>77.47</v>
      </c>
      <c r="F62">
        <v>1</v>
      </c>
    </row>
    <row r="63" spans="1:6" x14ac:dyDescent="0.25">
      <c r="D63" s="11">
        <v>1409.5972489999999</v>
      </c>
      <c r="E63">
        <v>79.739999999999995</v>
      </c>
      <c r="F63">
        <v>1</v>
      </c>
    </row>
    <row r="64" spans="1:6" x14ac:dyDescent="0.25">
      <c r="D64" s="11">
        <v>1963.6365860000001</v>
      </c>
      <c r="E64">
        <v>83.6</v>
      </c>
      <c r="F64">
        <v>1</v>
      </c>
    </row>
    <row r="65" spans="4:6" x14ac:dyDescent="0.25">
      <c r="D65" s="11" t="s">
        <v>16</v>
      </c>
      <c r="E65">
        <v>64.056375000000003</v>
      </c>
      <c r="F65">
        <v>80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0477-CE44-4C1F-A618-2DA633600097}">
  <dimension ref="A1:F67"/>
  <sheetViews>
    <sheetView zoomScale="121" workbookViewId="0">
      <selection activeCell="E19" sqref="E19"/>
    </sheetView>
  </sheetViews>
  <sheetFormatPr defaultRowHeight="15" x14ac:dyDescent="0.25"/>
  <cols>
    <col min="1" max="1" width="18.85546875" bestFit="1" customWidth="1"/>
    <col min="2" max="2" width="24.140625" bestFit="1" customWidth="1"/>
    <col min="3" max="3" width="10.42578125" bestFit="1" customWidth="1"/>
    <col min="4" max="4" width="18.85546875" style="14" bestFit="1" customWidth="1"/>
    <col min="5" max="5" width="24.140625" bestFit="1" customWidth="1"/>
    <col min="6" max="6" width="10.42578125" bestFit="1" customWidth="1"/>
  </cols>
  <sheetData>
    <row r="1" spans="1:6" x14ac:dyDescent="0.25">
      <c r="A1" s="20" t="s">
        <v>30</v>
      </c>
      <c r="B1" s="21"/>
      <c r="C1" s="21"/>
      <c r="D1" s="22" t="s">
        <v>31</v>
      </c>
      <c r="E1" s="21"/>
      <c r="F1" s="21"/>
    </row>
    <row r="2" spans="1:6" x14ac:dyDescent="0.25">
      <c r="A2" s="10" t="s">
        <v>7</v>
      </c>
      <c r="B2" t="s">
        <v>25</v>
      </c>
      <c r="C2" t="s">
        <v>33</v>
      </c>
      <c r="D2" s="10" t="s">
        <v>7</v>
      </c>
      <c r="E2" t="s">
        <v>25</v>
      </c>
      <c r="F2" t="s">
        <v>33</v>
      </c>
    </row>
    <row r="3" spans="1:6" x14ac:dyDescent="0.25">
      <c r="A3" s="11">
        <v>2384.415649</v>
      </c>
      <c r="B3">
        <v>70.44</v>
      </c>
      <c r="C3">
        <v>2</v>
      </c>
      <c r="D3" s="11">
        <v>2153.665849</v>
      </c>
      <c r="E3">
        <v>85.8</v>
      </c>
      <c r="F3">
        <v>3</v>
      </c>
    </row>
    <row r="4" spans="1:6" x14ac:dyDescent="0.25">
      <c r="A4" s="11">
        <v>2309.43406</v>
      </c>
      <c r="B4">
        <v>38.159999999999997</v>
      </c>
      <c r="C4">
        <v>2</v>
      </c>
      <c r="D4" s="11">
        <v>2141.1080360000001</v>
      </c>
      <c r="E4">
        <v>69.426666666666662</v>
      </c>
      <c r="F4">
        <v>3</v>
      </c>
    </row>
    <row r="5" spans="1:6" x14ac:dyDescent="0.25">
      <c r="A5" s="11">
        <v>2295.0001040000002</v>
      </c>
      <c r="B5">
        <v>54.314999999999998</v>
      </c>
      <c r="C5">
        <v>2</v>
      </c>
      <c r="D5" s="11">
        <v>2160.0001579999998</v>
      </c>
      <c r="E5">
        <v>87.37</v>
      </c>
      <c r="F5">
        <v>3</v>
      </c>
    </row>
    <row r="6" spans="1:6" x14ac:dyDescent="0.25">
      <c r="A6" s="11">
        <v>1661.538753</v>
      </c>
      <c r="B6">
        <v>67.5</v>
      </c>
      <c r="C6">
        <v>2</v>
      </c>
      <c r="D6" s="11">
        <v>2400.0000570000002</v>
      </c>
      <c r="E6">
        <v>77.055000000000007</v>
      </c>
      <c r="F6">
        <v>2</v>
      </c>
    </row>
    <row r="7" spans="1:6" x14ac:dyDescent="0.25">
      <c r="A7" s="11">
        <v>2369.03233</v>
      </c>
      <c r="B7">
        <v>74.819999999999993</v>
      </c>
      <c r="C7">
        <v>2</v>
      </c>
      <c r="D7" s="11">
        <v>2147.3685829999999</v>
      </c>
      <c r="E7">
        <v>74.045000000000002</v>
      </c>
      <c r="F7">
        <v>2</v>
      </c>
    </row>
    <row r="8" spans="1:6" x14ac:dyDescent="0.25">
      <c r="A8" s="11">
        <v>1822.3327650000001</v>
      </c>
      <c r="B8">
        <v>42.375</v>
      </c>
      <c r="C8">
        <v>2</v>
      </c>
      <c r="D8" s="11">
        <v>1471.743802</v>
      </c>
      <c r="E8">
        <v>70.45</v>
      </c>
      <c r="F8">
        <v>2</v>
      </c>
    </row>
    <row r="9" spans="1:6" x14ac:dyDescent="0.25">
      <c r="A9" s="11">
        <v>2166.3718370000001</v>
      </c>
      <c r="B9">
        <v>62.739999999999995</v>
      </c>
      <c r="C9">
        <v>2</v>
      </c>
      <c r="D9" s="11">
        <v>1468.800315</v>
      </c>
      <c r="E9">
        <v>65.14</v>
      </c>
      <c r="F9">
        <v>2</v>
      </c>
    </row>
    <row r="10" spans="1:6" x14ac:dyDescent="0.25">
      <c r="A10" s="11">
        <v>2134.8838879999998</v>
      </c>
      <c r="B10">
        <v>82.884999999999991</v>
      </c>
      <c r="C10">
        <v>2</v>
      </c>
      <c r="D10" s="11">
        <v>1661.538753</v>
      </c>
      <c r="E10">
        <v>69.81</v>
      </c>
      <c r="F10">
        <v>2</v>
      </c>
    </row>
    <row r="11" spans="1:6" x14ac:dyDescent="0.25">
      <c r="A11" s="11">
        <v>2302.1944579999999</v>
      </c>
      <c r="B11">
        <v>21.574999999999999</v>
      </c>
      <c r="C11">
        <v>2</v>
      </c>
      <c r="D11" s="11">
        <v>2166.3718370000001</v>
      </c>
      <c r="E11">
        <v>81.67</v>
      </c>
      <c r="F11">
        <v>2</v>
      </c>
    </row>
    <row r="12" spans="1:6" x14ac:dyDescent="0.25">
      <c r="A12" s="11">
        <v>2141.1080360000001</v>
      </c>
      <c r="B12">
        <v>78.08</v>
      </c>
      <c r="C12">
        <v>2</v>
      </c>
      <c r="D12" s="11">
        <v>1669.091199</v>
      </c>
      <c r="E12">
        <v>71.31</v>
      </c>
      <c r="F12">
        <v>2</v>
      </c>
    </row>
    <row r="13" spans="1:6" x14ac:dyDescent="0.25">
      <c r="A13" s="11">
        <v>2361.4148660000001</v>
      </c>
      <c r="B13">
        <v>83.424999999999997</v>
      </c>
      <c r="C13">
        <v>2</v>
      </c>
      <c r="D13" s="11">
        <v>2172.7812180000001</v>
      </c>
      <c r="E13">
        <v>80.995000000000005</v>
      </c>
      <c r="F13">
        <v>2</v>
      </c>
    </row>
    <row r="14" spans="1:6" x14ac:dyDescent="0.25">
      <c r="A14" s="11">
        <v>2147.3685829999999</v>
      </c>
      <c r="B14">
        <v>67.89</v>
      </c>
      <c r="C14">
        <v>2</v>
      </c>
      <c r="D14" s="11">
        <v>2122.5435240000002</v>
      </c>
      <c r="E14">
        <v>70.715000000000003</v>
      </c>
      <c r="F14">
        <v>2</v>
      </c>
    </row>
    <row r="15" spans="1:6" x14ac:dyDescent="0.25">
      <c r="A15" s="11">
        <v>2376.6990970000002</v>
      </c>
      <c r="B15">
        <v>70.504999999999995</v>
      </c>
      <c r="C15">
        <v>2</v>
      </c>
      <c r="D15" s="11">
        <v>2407.8689060000002</v>
      </c>
      <c r="E15">
        <v>87.925000000000011</v>
      </c>
      <c r="F15">
        <v>2</v>
      </c>
    </row>
    <row r="16" spans="1:6" x14ac:dyDescent="0.25">
      <c r="A16" s="11">
        <v>2153.665849</v>
      </c>
      <c r="B16">
        <v>72.764999999999986</v>
      </c>
      <c r="C16">
        <v>2</v>
      </c>
      <c r="D16" s="11">
        <v>2134.8838879999998</v>
      </c>
      <c r="E16">
        <v>66.430000000000007</v>
      </c>
      <c r="F16">
        <v>2</v>
      </c>
    </row>
    <row r="17" spans="1:6" x14ac:dyDescent="0.25">
      <c r="A17" s="11">
        <v>2160.0001579999998</v>
      </c>
      <c r="B17">
        <v>77.305000000000007</v>
      </c>
      <c r="C17">
        <v>2</v>
      </c>
      <c r="D17" s="11">
        <v>2001.09013</v>
      </c>
      <c r="E17">
        <v>80.215000000000003</v>
      </c>
      <c r="F17">
        <v>2</v>
      </c>
    </row>
    <row r="18" spans="1:6" x14ac:dyDescent="0.25">
      <c r="A18" s="11">
        <v>2051.396843</v>
      </c>
      <c r="B18">
        <v>78.37</v>
      </c>
      <c r="C18">
        <v>2</v>
      </c>
      <c r="D18" s="11">
        <v>2185.714434</v>
      </c>
      <c r="E18">
        <v>65</v>
      </c>
      <c r="F18">
        <v>1</v>
      </c>
    </row>
    <row r="19" spans="1:6" x14ac:dyDescent="0.25">
      <c r="A19" s="11">
        <v>1632.0002959999999</v>
      </c>
      <c r="B19">
        <v>55.88</v>
      </c>
      <c r="C19">
        <v>1</v>
      </c>
      <c r="D19" s="11">
        <v>1465.868579</v>
      </c>
      <c r="E19">
        <v>66.83</v>
      </c>
      <c r="F19">
        <v>1</v>
      </c>
    </row>
    <row r="20" spans="1:6" x14ac:dyDescent="0.25">
      <c r="A20" s="11">
        <v>2172.7812180000001</v>
      </c>
      <c r="B20">
        <v>84.67</v>
      </c>
      <c r="C20">
        <v>1</v>
      </c>
      <c r="D20" s="11">
        <v>2384.415649</v>
      </c>
      <c r="E20">
        <v>73.36</v>
      </c>
      <c r="F20">
        <v>1</v>
      </c>
    </row>
    <row r="21" spans="1:6" x14ac:dyDescent="0.25">
      <c r="A21" s="11">
        <v>1669.091199</v>
      </c>
      <c r="B21">
        <v>76.790000000000006</v>
      </c>
      <c r="C21">
        <v>1</v>
      </c>
      <c r="D21" s="11">
        <v>1672.8932279999999</v>
      </c>
      <c r="E21">
        <v>49.62</v>
      </c>
      <c r="F21">
        <v>1</v>
      </c>
    </row>
    <row r="22" spans="1:6" x14ac:dyDescent="0.25">
      <c r="A22" s="11">
        <v>1711.8883940000001</v>
      </c>
      <c r="B22">
        <v>12.47</v>
      </c>
      <c r="C22">
        <v>1</v>
      </c>
      <c r="D22" s="11">
        <v>1632.0002959999999</v>
      </c>
      <c r="E22">
        <v>67.31</v>
      </c>
      <c r="F22">
        <v>1</v>
      </c>
    </row>
    <row r="23" spans="1:6" x14ac:dyDescent="0.25">
      <c r="A23" s="11">
        <v>2273.6843239999998</v>
      </c>
      <c r="B23">
        <v>25.3</v>
      </c>
      <c r="C23">
        <v>1</v>
      </c>
      <c r="D23" s="11">
        <v>1692.1661839999999</v>
      </c>
      <c r="E23">
        <v>92.07</v>
      </c>
      <c r="F23">
        <v>1</v>
      </c>
    </row>
    <row r="24" spans="1:6" x14ac:dyDescent="0.25">
      <c r="A24" s="11">
        <v>1715.888132</v>
      </c>
      <c r="B24">
        <v>17.93</v>
      </c>
      <c r="C24">
        <v>1</v>
      </c>
      <c r="D24" s="11">
        <v>2353.8462319999999</v>
      </c>
      <c r="E24">
        <v>89.68</v>
      </c>
      <c r="F24">
        <v>1</v>
      </c>
    </row>
    <row r="25" spans="1:6" x14ac:dyDescent="0.25">
      <c r="A25" s="11">
        <v>2346.3259600000001</v>
      </c>
      <c r="B25">
        <v>69.540000000000006</v>
      </c>
      <c r="C25">
        <v>1</v>
      </c>
      <c r="D25" s="11">
        <v>1696.074188</v>
      </c>
      <c r="E25">
        <v>100</v>
      </c>
      <c r="F25">
        <v>1</v>
      </c>
    </row>
    <row r="26" spans="1:6" x14ac:dyDescent="0.25">
      <c r="A26" s="11">
        <v>1752.7449039999999</v>
      </c>
      <c r="B26">
        <v>74.010000000000005</v>
      </c>
      <c r="C26">
        <v>1</v>
      </c>
      <c r="D26" s="11">
        <v>2423.7624219999998</v>
      </c>
      <c r="E26">
        <v>63.67</v>
      </c>
      <c r="F26">
        <v>1</v>
      </c>
    </row>
    <row r="27" spans="1:6" x14ac:dyDescent="0.25">
      <c r="A27" s="11">
        <v>2415.7895229999999</v>
      </c>
      <c r="B27">
        <v>66.599999999999994</v>
      </c>
      <c r="C27">
        <v>1</v>
      </c>
      <c r="D27" s="11">
        <v>1700.000284</v>
      </c>
      <c r="E27">
        <v>79.489999999999995</v>
      </c>
      <c r="F27">
        <v>1</v>
      </c>
    </row>
    <row r="28" spans="1:6" x14ac:dyDescent="0.25">
      <c r="A28" s="11">
        <v>1420.5032200000001</v>
      </c>
      <c r="B28">
        <v>40.700000000000003</v>
      </c>
      <c r="C28">
        <v>1</v>
      </c>
      <c r="D28" s="11">
        <v>1511.1114219999999</v>
      </c>
      <c r="E28">
        <v>91.7</v>
      </c>
      <c r="F28">
        <v>1</v>
      </c>
    </row>
    <row r="29" spans="1:6" x14ac:dyDescent="0.25">
      <c r="A29" s="11">
        <v>2198.8025379999999</v>
      </c>
      <c r="B29">
        <v>69.790000000000006</v>
      </c>
      <c r="C29">
        <v>1</v>
      </c>
      <c r="D29" s="11">
        <v>1800.000264</v>
      </c>
      <c r="E29">
        <v>67.17</v>
      </c>
      <c r="F29">
        <v>1</v>
      </c>
    </row>
    <row r="30" spans="1:6" x14ac:dyDescent="0.25">
      <c r="A30" s="11">
        <v>1826.8659299999999</v>
      </c>
      <c r="B30">
        <v>74.099999999999994</v>
      </c>
      <c r="C30">
        <v>1</v>
      </c>
      <c r="D30" s="11">
        <v>1642.9533140000001</v>
      </c>
      <c r="E30">
        <v>51.3</v>
      </c>
      <c r="F30">
        <v>1</v>
      </c>
    </row>
    <row r="31" spans="1:6" x14ac:dyDescent="0.25">
      <c r="A31" s="11">
        <v>2287.8505740000001</v>
      </c>
      <c r="B31">
        <v>15.98</v>
      </c>
      <c r="C31">
        <v>1</v>
      </c>
      <c r="D31" s="11">
        <v>1808.8672570000001</v>
      </c>
      <c r="E31">
        <v>48.84</v>
      </c>
      <c r="F31">
        <v>1</v>
      </c>
    </row>
    <row r="32" spans="1:6" x14ac:dyDescent="0.25">
      <c r="A32" s="11">
        <v>1878.261115</v>
      </c>
      <c r="B32">
        <v>69.56</v>
      </c>
      <c r="C32">
        <v>1</v>
      </c>
      <c r="D32" s="11">
        <v>2295.0001040000002</v>
      </c>
      <c r="E32">
        <v>63.18</v>
      </c>
      <c r="F32">
        <v>1</v>
      </c>
    </row>
    <row r="33" spans="1:6" x14ac:dyDescent="0.25">
      <c r="A33" s="11">
        <v>2316.7193379999999</v>
      </c>
      <c r="B33">
        <v>24.67</v>
      </c>
      <c r="C33">
        <v>1</v>
      </c>
      <c r="D33" s="11">
        <v>1813.3335950000001</v>
      </c>
      <c r="E33">
        <v>51.39</v>
      </c>
      <c r="F33">
        <v>1</v>
      </c>
    </row>
    <row r="34" spans="1:6" x14ac:dyDescent="0.25">
      <c r="A34" s="11">
        <v>1892.7837469999999</v>
      </c>
      <c r="B34">
        <v>25.43</v>
      </c>
      <c r="C34">
        <v>1</v>
      </c>
      <c r="D34" s="11">
        <v>2369.03233</v>
      </c>
      <c r="E34">
        <v>80.97</v>
      </c>
      <c r="F34">
        <v>1</v>
      </c>
    </row>
    <row r="35" spans="1:6" x14ac:dyDescent="0.25">
      <c r="A35" s="11">
        <v>1365.0560840000001</v>
      </c>
      <c r="B35">
        <v>41.46</v>
      </c>
      <c r="C35">
        <v>1</v>
      </c>
      <c r="D35" s="11">
        <v>1817.822042</v>
      </c>
      <c r="E35">
        <v>50.88</v>
      </c>
      <c r="F35">
        <v>1</v>
      </c>
    </row>
    <row r="36" spans="1:6" x14ac:dyDescent="0.25">
      <c r="A36" s="11">
        <v>1922.5133229999999</v>
      </c>
      <c r="B36">
        <v>58.23</v>
      </c>
      <c r="C36">
        <v>1</v>
      </c>
      <c r="D36" s="11">
        <v>1665.306413</v>
      </c>
      <c r="E36">
        <v>50.85</v>
      </c>
      <c r="F36">
        <v>1</v>
      </c>
    </row>
    <row r="37" spans="1:6" x14ac:dyDescent="0.25">
      <c r="A37" s="11">
        <v>2392.1824710000001</v>
      </c>
      <c r="B37">
        <v>74.150000000000006</v>
      </c>
      <c r="C37">
        <v>1</v>
      </c>
      <c r="D37" s="11">
        <v>1822.3327650000001</v>
      </c>
      <c r="E37">
        <v>53.14</v>
      </c>
      <c r="F37">
        <v>1</v>
      </c>
    </row>
    <row r="38" spans="1:6" x14ac:dyDescent="0.25">
      <c r="A38" s="11">
        <v>1984.8650809999999</v>
      </c>
      <c r="B38">
        <v>55.07</v>
      </c>
      <c r="C38">
        <v>1</v>
      </c>
      <c r="D38" s="11">
        <v>2448.0000340000001</v>
      </c>
      <c r="E38">
        <v>49.58</v>
      </c>
      <c r="F38">
        <v>1</v>
      </c>
    </row>
    <row r="39" spans="1:6" x14ac:dyDescent="0.25">
      <c r="A39" s="11">
        <v>1624.7790580000001</v>
      </c>
      <c r="B39">
        <v>33.78</v>
      </c>
      <c r="C39">
        <v>1</v>
      </c>
      <c r="D39" s="11">
        <v>1912.500237</v>
      </c>
      <c r="E39">
        <v>65.75</v>
      </c>
      <c r="F39">
        <v>1</v>
      </c>
    </row>
    <row r="40" spans="1:6" x14ac:dyDescent="0.25">
      <c r="A40" s="11">
        <v>2006.557587</v>
      </c>
      <c r="B40">
        <v>66.959999999999994</v>
      </c>
      <c r="C40">
        <v>1</v>
      </c>
      <c r="D40" s="11">
        <v>1495.7233269999999</v>
      </c>
      <c r="E40">
        <v>69.569999999999993</v>
      </c>
      <c r="F40">
        <v>1</v>
      </c>
    </row>
    <row r="41" spans="1:6" x14ac:dyDescent="0.25">
      <c r="A41" s="11">
        <v>2179.2286370000002</v>
      </c>
      <c r="B41">
        <v>75.09</v>
      </c>
      <c r="C41">
        <v>1</v>
      </c>
      <c r="D41" s="11">
        <v>1953.1917149999999</v>
      </c>
      <c r="E41">
        <v>69.489999999999995</v>
      </c>
      <c r="F41">
        <v>1</v>
      </c>
    </row>
    <row r="42" spans="1:6" x14ac:dyDescent="0.25">
      <c r="A42" s="11">
        <v>2034.3492309999999</v>
      </c>
      <c r="B42">
        <v>63.4</v>
      </c>
      <c r="C42">
        <v>1</v>
      </c>
      <c r="D42" s="11">
        <v>1533.194463</v>
      </c>
      <c r="E42">
        <v>72.08</v>
      </c>
      <c r="F42">
        <v>1</v>
      </c>
    </row>
    <row r="43" spans="1:6" x14ac:dyDescent="0.25">
      <c r="A43" s="11">
        <v>2266.6667830000001</v>
      </c>
      <c r="B43">
        <v>88.08</v>
      </c>
      <c r="C43">
        <v>1</v>
      </c>
      <c r="D43" s="11">
        <v>1958.400224</v>
      </c>
      <c r="E43">
        <v>77.47</v>
      </c>
      <c r="F43">
        <v>1</v>
      </c>
    </row>
    <row r="44" spans="1:6" x14ac:dyDescent="0.25">
      <c r="A44" s="11">
        <v>2040.0001990000001</v>
      </c>
      <c r="B44">
        <v>63.06</v>
      </c>
      <c r="C44">
        <v>1</v>
      </c>
      <c r="D44" s="11">
        <v>1635.635039</v>
      </c>
      <c r="E44">
        <v>70.41</v>
      </c>
      <c r="F44">
        <v>1</v>
      </c>
    </row>
    <row r="45" spans="1:6" x14ac:dyDescent="0.25">
      <c r="A45" s="11">
        <v>2280.7454520000001</v>
      </c>
      <c r="B45">
        <v>37.369999999999997</v>
      </c>
      <c r="C45">
        <v>1</v>
      </c>
      <c r="D45" s="11">
        <v>1963.6365860000001</v>
      </c>
      <c r="E45">
        <v>83.6</v>
      </c>
      <c r="F45">
        <v>1</v>
      </c>
    </row>
    <row r="46" spans="1:6" x14ac:dyDescent="0.25">
      <c r="A46" s="11">
        <v>2423.7624219999998</v>
      </c>
      <c r="B46">
        <v>39.96</v>
      </c>
      <c r="C46">
        <v>1</v>
      </c>
      <c r="D46" s="11">
        <v>2179.2286370000002</v>
      </c>
      <c r="E46">
        <v>77.77</v>
      </c>
      <c r="F46">
        <v>1</v>
      </c>
    </row>
    <row r="47" spans="1:6" x14ac:dyDescent="0.25">
      <c r="A47" s="11">
        <v>1628.3816710000001</v>
      </c>
      <c r="B47">
        <v>24.23</v>
      </c>
      <c r="C47">
        <v>1</v>
      </c>
      <c r="D47" s="11">
        <v>1995.6523870000001</v>
      </c>
      <c r="E47">
        <v>65.12</v>
      </c>
      <c r="F47">
        <v>1</v>
      </c>
    </row>
    <row r="48" spans="1:6" x14ac:dyDescent="0.25">
      <c r="A48" s="11">
        <v>2456.1873209999999</v>
      </c>
      <c r="B48">
        <v>46.37</v>
      </c>
      <c r="C48">
        <v>1</v>
      </c>
      <c r="D48" s="11">
        <v>2192.2389520000002</v>
      </c>
      <c r="E48">
        <v>54.01</v>
      </c>
      <c r="F48">
        <v>1</v>
      </c>
    </row>
    <row r="49" spans="1:6" x14ac:dyDescent="0.25">
      <c r="A49" s="11">
        <v>1657.788102</v>
      </c>
      <c r="B49">
        <v>53.53</v>
      </c>
      <c r="C49">
        <v>1</v>
      </c>
      <c r="D49" s="11">
        <v>1409.5972489999999</v>
      </c>
      <c r="E49">
        <v>79.739999999999995</v>
      </c>
      <c r="F49">
        <v>1</v>
      </c>
    </row>
    <row r="50" spans="1:6" x14ac:dyDescent="0.25">
      <c r="A50" s="11">
        <v>2497.9591930000001</v>
      </c>
      <c r="B50">
        <v>16.73</v>
      </c>
      <c r="C50">
        <v>1</v>
      </c>
      <c r="D50" s="11">
        <v>2346.3259600000001</v>
      </c>
      <c r="E50">
        <v>76.27</v>
      </c>
      <c r="F50">
        <v>1</v>
      </c>
    </row>
    <row r="51" spans="1:6" x14ac:dyDescent="0.25">
      <c r="A51" s="11">
        <v>2324.0507240000002</v>
      </c>
      <c r="B51">
        <v>100</v>
      </c>
      <c r="C51">
        <v>1</v>
      </c>
      <c r="D51" s="11">
        <v>2006.557587</v>
      </c>
      <c r="E51">
        <v>77.930000000000007</v>
      </c>
      <c r="F51">
        <v>1</v>
      </c>
    </row>
    <row r="52" spans="1:6" x14ac:dyDescent="0.25">
      <c r="A52" s="11">
        <v>2128.6958209999998</v>
      </c>
      <c r="B52">
        <v>56.58</v>
      </c>
      <c r="C52">
        <v>1</v>
      </c>
      <c r="D52" s="11">
        <v>2361.4148660000001</v>
      </c>
      <c r="E52">
        <v>97.8</v>
      </c>
      <c r="F52">
        <v>1</v>
      </c>
    </row>
    <row r="53" spans="1:6" x14ac:dyDescent="0.25">
      <c r="A53" s="11">
        <v>2353.8462319999999</v>
      </c>
      <c r="B53">
        <v>90.65</v>
      </c>
      <c r="C53">
        <v>1</v>
      </c>
      <c r="D53" s="11">
        <v>2017.5826239999999</v>
      </c>
      <c r="E53">
        <v>67.989999999999995</v>
      </c>
      <c r="F53">
        <v>1</v>
      </c>
    </row>
    <row r="54" spans="1:6" x14ac:dyDescent="0.25">
      <c r="A54" s="11">
        <v>1442.8293940000001</v>
      </c>
      <c r="B54">
        <v>25.02</v>
      </c>
      <c r="C54">
        <v>1</v>
      </c>
      <c r="D54" s="11">
        <v>2376.6990970000002</v>
      </c>
      <c r="E54">
        <v>66.2</v>
      </c>
      <c r="F54">
        <v>1</v>
      </c>
    </row>
    <row r="55" spans="1:6" x14ac:dyDescent="0.25">
      <c r="A55" s="11">
        <v>1665.306413</v>
      </c>
      <c r="B55">
        <v>69.72</v>
      </c>
      <c r="C55">
        <v>1</v>
      </c>
      <c r="D55" s="11">
        <v>2023.1406999999999</v>
      </c>
      <c r="E55">
        <v>77.709999999999994</v>
      </c>
      <c r="F55">
        <v>1</v>
      </c>
    </row>
    <row r="56" spans="1:6" x14ac:dyDescent="0.25">
      <c r="A56" s="11">
        <v>1460.0400770000001</v>
      </c>
      <c r="B56">
        <v>38.950000000000003</v>
      </c>
      <c r="C56">
        <v>1</v>
      </c>
      <c r="D56" s="11">
        <v>1462.948523</v>
      </c>
      <c r="E56">
        <v>77.58</v>
      </c>
      <c r="F56">
        <v>1</v>
      </c>
    </row>
    <row r="57" spans="1:6" x14ac:dyDescent="0.25">
      <c r="A57" s="11">
        <v>1696.074188</v>
      </c>
      <c r="B57">
        <v>76.819999999999993</v>
      </c>
      <c r="C57">
        <v>1</v>
      </c>
      <c r="D57" s="11">
        <v>2028.729484</v>
      </c>
      <c r="E57">
        <v>68.11</v>
      </c>
      <c r="F57">
        <v>1</v>
      </c>
    </row>
    <row r="58" spans="1:6" x14ac:dyDescent="0.25">
      <c r="A58" s="11">
        <v>1508.008525</v>
      </c>
      <c r="B58">
        <v>46.37</v>
      </c>
      <c r="C58">
        <v>1</v>
      </c>
      <c r="D58" s="11">
        <v>2415.7895229999999</v>
      </c>
      <c r="E58">
        <v>72.010000000000005</v>
      </c>
      <c r="F58">
        <v>1</v>
      </c>
    </row>
    <row r="59" spans="1:6" x14ac:dyDescent="0.25">
      <c r="A59" s="11">
        <v>2400.0000570000002</v>
      </c>
      <c r="B59">
        <v>49.89</v>
      </c>
      <c r="C59">
        <v>1</v>
      </c>
      <c r="D59" s="11">
        <v>2116.4266859999998</v>
      </c>
      <c r="E59">
        <v>71.72</v>
      </c>
      <c r="F59">
        <v>1</v>
      </c>
    </row>
    <row r="60" spans="1:6" x14ac:dyDescent="0.25">
      <c r="A60" s="11">
        <v>1593.0588700000001</v>
      </c>
      <c r="B60">
        <v>34.5</v>
      </c>
      <c r="C60">
        <v>1</v>
      </c>
      <c r="D60" s="11">
        <v>2431.7881219999999</v>
      </c>
      <c r="E60">
        <v>67.02</v>
      </c>
      <c r="F60">
        <v>1</v>
      </c>
    </row>
    <row r="61" spans="1:6" x14ac:dyDescent="0.25">
      <c r="A61" s="11">
        <v>1700.000284</v>
      </c>
      <c r="B61">
        <v>68.569999999999993</v>
      </c>
      <c r="C61">
        <v>1</v>
      </c>
      <c r="D61" s="11">
        <v>1412.308012</v>
      </c>
      <c r="E61">
        <v>64.11</v>
      </c>
      <c r="F61">
        <v>1</v>
      </c>
    </row>
    <row r="62" spans="1:6" x14ac:dyDescent="0.25">
      <c r="A62" s="11">
        <v>1610.526615</v>
      </c>
      <c r="B62">
        <v>87.56</v>
      </c>
      <c r="C62">
        <v>1</v>
      </c>
      <c r="D62" s="11">
        <v>2456.1873209999999</v>
      </c>
      <c r="E62">
        <v>72.16</v>
      </c>
      <c r="F62">
        <v>1</v>
      </c>
    </row>
    <row r="63" spans="1:6" x14ac:dyDescent="0.25">
      <c r="A63" s="11">
        <v>2472.7272950000001</v>
      </c>
      <c r="B63">
        <v>82.6</v>
      </c>
      <c r="C63">
        <v>1</v>
      </c>
      <c r="D63" s="11">
        <v>2128.6958209999998</v>
      </c>
      <c r="E63">
        <v>84.83</v>
      </c>
      <c r="F63">
        <v>1</v>
      </c>
    </row>
    <row r="64" spans="1:6" x14ac:dyDescent="0.25">
      <c r="A64" s="11">
        <v>2068.7325839999999</v>
      </c>
      <c r="B64">
        <v>27.35</v>
      </c>
      <c r="C64">
        <v>1</v>
      </c>
      <c r="D64" s="11">
        <v>1428.794093</v>
      </c>
      <c r="E64">
        <v>68.14</v>
      </c>
      <c r="F64">
        <v>1</v>
      </c>
    </row>
    <row r="65" spans="1:6" x14ac:dyDescent="0.25">
      <c r="A65" s="11">
        <v>1360.0003220000001</v>
      </c>
      <c r="B65">
        <v>91.04</v>
      </c>
      <c r="C65">
        <v>1</v>
      </c>
      <c r="D65" s="11" t="s">
        <v>16</v>
      </c>
      <c r="E65">
        <v>72.749125000000006</v>
      </c>
      <c r="F65">
        <v>80</v>
      </c>
    </row>
    <row r="66" spans="1:6" x14ac:dyDescent="0.25">
      <c r="A66" s="11">
        <v>2122.5435240000002</v>
      </c>
      <c r="B66">
        <v>65.84</v>
      </c>
      <c r="C66">
        <v>1</v>
      </c>
    </row>
    <row r="67" spans="1:6" x14ac:dyDescent="0.25">
      <c r="A67" s="11" t="s">
        <v>16</v>
      </c>
      <c r="B67">
        <v>59.233125000000015</v>
      </c>
      <c r="C67">
        <v>80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7C10-E372-4E28-AC5A-6E2EDE500571}">
  <dimension ref="A1:I153"/>
  <sheetViews>
    <sheetView workbookViewId="0">
      <selection activeCell="I2" sqref="I2"/>
    </sheetView>
  </sheetViews>
  <sheetFormatPr defaultRowHeight="15" x14ac:dyDescent="0.25"/>
  <cols>
    <col min="1" max="1" width="24.85546875" customWidth="1"/>
    <col min="2" max="4" width="12.7109375" customWidth="1"/>
    <col min="5" max="5" width="11.5703125" customWidth="1"/>
    <col min="6" max="6" width="17.28515625" customWidth="1"/>
    <col min="8" max="8" width="13.28515625" bestFit="1" customWidth="1"/>
    <col min="9" max="9" width="17.28515625" bestFit="1" customWidth="1"/>
    <col min="10" max="77" width="14.7109375" bestFit="1" customWidth="1"/>
    <col min="78" max="78" width="9.85546875" bestFit="1" customWidth="1"/>
  </cols>
  <sheetData>
    <row r="1" spans="1:9" x14ac:dyDescent="0.25">
      <c r="A1" t="s">
        <v>147</v>
      </c>
      <c r="B1" t="s">
        <v>2</v>
      </c>
      <c r="C1" t="s">
        <v>153</v>
      </c>
      <c r="D1" t="s">
        <v>146</v>
      </c>
      <c r="E1" t="s">
        <v>0</v>
      </c>
      <c r="F1" t="s">
        <v>20</v>
      </c>
      <c r="H1" s="10" t="s">
        <v>15</v>
      </c>
      <c r="I1" t="s">
        <v>18</v>
      </c>
    </row>
    <row r="2" spans="1:9" x14ac:dyDescent="0.25">
      <c r="A2" t="s">
        <v>36</v>
      </c>
      <c r="B2" t="s">
        <v>10</v>
      </c>
      <c r="C2" t="str" cm="1">
        <f t="array" ref="C2">_xlfn.IFS(ISNUMBER(FIND("N",B2)),"Needles",ISNUMBER(FIND("P",B2)),"Phloem")</f>
        <v>Phloem</v>
      </c>
      <c r="D2">
        <v>2</v>
      </c>
      <c r="E2">
        <v>2134.8838879999998</v>
      </c>
      <c r="F2">
        <v>60</v>
      </c>
      <c r="H2" s="11">
        <v>2160.0001579999998</v>
      </c>
      <c r="I2">
        <v>7</v>
      </c>
    </row>
    <row r="3" spans="1:9" x14ac:dyDescent="0.25">
      <c r="A3" t="s">
        <v>36</v>
      </c>
      <c r="B3" t="s">
        <v>10</v>
      </c>
      <c r="C3" t="str" cm="1">
        <f t="array" ref="C3">_xlfn.IFS(ISNUMBER(FIND("N",B3)),"Needles",ISNUMBER(FIND("P",B3)),"Phloem")</f>
        <v>Phloem</v>
      </c>
      <c r="D3">
        <v>2</v>
      </c>
      <c r="E3">
        <v>2153.665849</v>
      </c>
      <c r="F3">
        <v>57</v>
      </c>
      <c r="H3" s="12" t="s">
        <v>154</v>
      </c>
      <c r="I3">
        <v>3</v>
      </c>
    </row>
    <row r="4" spans="1:9" x14ac:dyDescent="0.25">
      <c r="A4" t="s">
        <v>36</v>
      </c>
      <c r="B4" t="s">
        <v>10</v>
      </c>
      <c r="C4" t="str" cm="1">
        <f t="array" ref="C4">_xlfn.IFS(ISNUMBER(FIND("N",B4)),"Needles",ISNUMBER(FIND("P",B4)),"Phloem")</f>
        <v>Phloem</v>
      </c>
      <c r="D4">
        <v>2</v>
      </c>
      <c r="E4">
        <v>2128.6958209999998</v>
      </c>
      <c r="F4">
        <v>61</v>
      </c>
      <c r="H4" s="12" t="s">
        <v>155</v>
      </c>
      <c r="I4">
        <v>4</v>
      </c>
    </row>
    <row r="5" spans="1:9" x14ac:dyDescent="0.25">
      <c r="A5" t="s">
        <v>36</v>
      </c>
      <c r="B5" t="s">
        <v>10</v>
      </c>
      <c r="C5" t="str" cm="1">
        <f t="array" ref="C5">_xlfn.IFS(ISNUMBER(FIND("N",B5)),"Needles",ISNUMBER(FIND("P",B5)),"Phloem")</f>
        <v>Phloem</v>
      </c>
      <c r="D5">
        <v>2</v>
      </c>
      <c r="E5">
        <v>2141.1080360000001</v>
      </c>
      <c r="F5">
        <v>59</v>
      </c>
      <c r="H5" s="11">
        <v>2153.665849</v>
      </c>
      <c r="I5">
        <v>6</v>
      </c>
    </row>
    <row r="6" spans="1:9" x14ac:dyDescent="0.25">
      <c r="A6" t="s">
        <v>36</v>
      </c>
      <c r="B6" t="s">
        <v>10</v>
      </c>
      <c r="C6" t="str" cm="1">
        <f t="array" ref="C6">_xlfn.IFS(ISNUMBER(FIND("N",B6)),"Needles",ISNUMBER(FIND("P",B6)),"Phloem")</f>
        <v>Phloem</v>
      </c>
      <c r="D6">
        <v>2</v>
      </c>
      <c r="E6">
        <v>2160.0001579999998</v>
      </c>
      <c r="F6">
        <v>56</v>
      </c>
      <c r="H6" s="12" t="s">
        <v>154</v>
      </c>
      <c r="I6">
        <v>2</v>
      </c>
    </row>
    <row r="7" spans="1:9" x14ac:dyDescent="0.25">
      <c r="A7" t="s">
        <v>36</v>
      </c>
      <c r="B7" t="s">
        <v>10</v>
      </c>
      <c r="C7" t="str" cm="1">
        <f t="array" ref="C7">_xlfn.IFS(ISNUMBER(FIND("N",B7)),"Needles",ISNUMBER(FIND("P",B7)),"Phloem")</f>
        <v>Phloem</v>
      </c>
      <c r="D7">
        <v>2</v>
      </c>
      <c r="E7">
        <v>2147.3685829999999</v>
      </c>
      <c r="F7">
        <v>58</v>
      </c>
      <c r="H7" s="12" t="s">
        <v>155</v>
      </c>
      <c r="I7">
        <v>4</v>
      </c>
    </row>
    <row r="8" spans="1:9" x14ac:dyDescent="0.25">
      <c r="A8" t="s">
        <v>36</v>
      </c>
      <c r="B8" t="s">
        <v>10</v>
      </c>
      <c r="C8" t="str" cm="1">
        <f t="array" ref="C8">_xlfn.IFS(ISNUMBER(FIND("N",B8)),"Needles",ISNUMBER(FIND("P",B8)),"Phloem")</f>
        <v>Phloem</v>
      </c>
      <c r="D8">
        <v>2</v>
      </c>
      <c r="E8">
        <v>2122.5435240000002</v>
      </c>
      <c r="F8">
        <v>62</v>
      </c>
      <c r="H8" s="11">
        <v>2400.0000570000002</v>
      </c>
      <c r="I8">
        <v>6</v>
      </c>
    </row>
    <row r="9" spans="1:9" x14ac:dyDescent="0.25">
      <c r="A9" t="s">
        <v>36</v>
      </c>
      <c r="B9" t="s">
        <v>10</v>
      </c>
      <c r="C9" t="str" cm="1">
        <f t="array" ref="C9">_xlfn.IFS(ISNUMBER(FIND("N",B9)),"Needles",ISNUMBER(FIND("P",B9)),"Phloem")</f>
        <v>Phloem</v>
      </c>
      <c r="D9">
        <v>2</v>
      </c>
      <c r="E9">
        <v>2166.3718370000001</v>
      </c>
      <c r="F9">
        <v>55</v>
      </c>
      <c r="H9" s="12" t="s">
        <v>154</v>
      </c>
      <c r="I9">
        <v>3</v>
      </c>
    </row>
    <row r="10" spans="1:9" x14ac:dyDescent="0.25">
      <c r="A10" t="s">
        <v>36</v>
      </c>
      <c r="B10" t="s">
        <v>10</v>
      </c>
      <c r="C10" t="str" cm="1">
        <f t="array" ref="C10">_xlfn.IFS(ISNUMBER(FIND("N",B10)),"Needles",ISNUMBER(FIND("P",B10)),"Phloem")</f>
        <v>Phloem</v>
      </c>
      <c r="D10">
        <v>2</v>
      </c>
      <c r="E10">
        <v>2407.8689060000002</v>
      </c>
      <c r="F10">
        <v>21</v>
      </c>
      <c r="H10" s="12" t="s">
        <v>155</v>
      </c>
      <c r="I10">
        <v>3</v>
      </c>
    </row>
    <row r="11" spans="1:9" x14ac:dyDescent="0.25">
      <c r="A11" t="s">
        <v>36</v>
      </c>
      <c r="B11" t="s">
        <v>10</v>
      </c>
      <c r="C11" t="str" cm="1">
        <f t="array" ref="C11">_xlfn.IFS(ISNUMBER(FIND("N",B11)),"Needles",ISNUMBER(FIND("P",B11)),"Phloem")</f>
        <v>Phloem</v>
      </c>
      <c r="D11">
        <v>2</v>
      </c>
      <c r="E11">
        <v>2116.4266859999998</v>
      </c>
      <c r="F11">
        <v>63</v>
      </c>
      <c r="H11" s="11">
        <v>2141.1080360000001</v>
      </c>
      <c r="I11">
        <v>6</v>
      </c>
    </row>
    <row r="12" spans="1:9" x14ac:dyDescent="0.25">
      <c r="A12" t="s">
        <v>36</v>
      </c>
      <c r="B12" t="s">
        <v>10</v>
      </c>
      <c r="C12" t="str" cm="1">
        <f t="array" ref="C12">_xlfn.IFS(ISNUMBER(FIND("N",B12)),"Needles",ISNUMBER(FIND("P",B12)),"Phloem")</f>
        <v>Phloem</v>
      </c>
      <c r="D12">
        <v>2</v>
      </c>
      <c r="E12">
        <v>2415.7895229999999</v>
      </c>
      <c r="F12">
        <v>20</v>
      </c>
      <c r="H12" s="12" t="s">
        <v>154</v>
      </c>
      <c r="I12">
        <v>2</v>
      </c>
    </row>
    <row r="13" spans="1:9" x14ac:dyDescent="0.25">
      <c r="A13" t="s">
        <v>36</v>
      </c>
      <c r="B13" t="s">
        <v>10</v>
      </c>
      <c r="C13" t="str" cm="1">
        <f t="array" ref="C13">_xlfn.IFS(ISNUMBER(FIND("N",B13)),"Needles",ISNUMBER(FIND("P",B13)),"Phloem")</f>
        <v>Phloem</v>
      </c>
      <c r="D13">
        <v>2</v>
      </c>
      <c r="E13">
        <v>2400.0000570000002</v>
      </c>
      <c r="F13">
        <v>22</v>
      </c>
      <c r="H13" s="12" t="s">
        <v>155</v>
      </c>
      <c r="I13">
        <v>4</v>
      </c>
    </row>
    <row r="14" spans="1:9" x14ac:dyDescent="0.25">
      <c r="A14" t="s">
        <v>36</v>
      </c>
      <c r="B14" t="s">
        <v>10</v>
      </c>
      <c r="C14" t="str" cm="1">
        <f t="array" ref="C14">_xlfn.IFS(ISNUMBER(FIND("N",B14)),"Needles",ISNUMBER(FIND("P",B14)),"Phloem")</f>
        <v>Phloem</v>
      </c>
      <c r="D14">
        <v>2</v>
      </c>
      <c r="E14">
        <v>1420.5032200000001</v>
      </c>
      <c r="F14">
        <v>233</v>
      </c>
      <c r="H14" s="11">
        <v>2172.7812180000001</v>
      </c>
      <c r="I14">
        <v>5</v>
      </c>
    </row>
    <row r="15" spans="1:9" x14ac:dyDescent="0.25">
      <c r="A15" t="s">
        <v>36</v>
      </c>
      <c r="B15" t="s">
        <v>10</v>
      </c>
      <c r="C15" t="str" cm="1">
        <f t="array" ref="C15">_xlfn.IFS(ISNUMBER(FIND("N",B15)),"Needles",ISNUMBER(FIND("P",B15)),"Phloem")</f>
        <v>Phloem</v>
      </c>
      <c r="D15">
        <v>2</v>
      </c>
      <c r="E15">
        <v>2205.405546</v>
      </c>
      <c r="F15">
        <v>49</v>
      </c>
      <c r="H15" s="12" t="s">
        <v>154</v>
      </c>
      <c r="I15">
        <v>2</v>
      </c>
    </row>
    <row r="16" spans="1:9" x14ac:dyDescent="0.25">
      <c r="A16" t="s">
        <v>36</v>
      </c>
      <c r="B16" t="s">
        <v>10</v>
      </c>
      <c r="C16" t="str" cm="1">
        <f t="array" ref="C16">_xlfn.IFS(ISNUMBER(FIND("N",B16)),"Needles",ISNUMBER(FIND("P",B16)),"Phloem")</f>
        <v>Phloem</v>
      </c>
      <c r="D16">
        <v>2</v>
      </c>
      <c r="E16">
        <v>2028.729484</v>
      </c>
      <c r="F16">
        <v>78</v>
      </c>
      <c r="H16" s="12" t="s">
        <v>155</v>
      </c>
      <c r="I16">
        <v>3</v>
      </c>
    </row>
    <row r="17" spans="1:9" x14ac:dyDescent="0.25">
      <c r="A17" t="s">
        <v>36</v>
      </c>
      <c r="B17" t="s">
        <v>10</v>
      </c>
      <c r="C17" t="str" cm="1">
        <f t="array" ref="C17">_xlfn.IFS(ISNUMBER(FIND("N",B17)),"Needles",ISNUMBER(FIND("P",B17)),"Phloem")</f>
        <v>Phloem</v>
      </c>
      <c r="D17">
        <v>2</v>
      </c>
      <c r="E17">
        <v>1462.948523</v>
      </c>
      <c r="F17">
        <v>218</v>
      </c>
      <c r="H17" s="11">
        <v>2166.3718370000001</v>
      </c>
      <c r="I17">
        <v>5</v>
      </c>
    </row>
    <row r="18" spans="1:9" x14ac:dyDescent="0.25">
      <c r="A18" t="s">
        <v>36</v>
      </c>
      <c r="B18" t="s">
        <v>10</v>
      </c>
      <c r="C18" t="str" cm="1">
        <f t="array" ref="C18">_xlfn.IFS(ISNUMBER(FIND("N",B18)),"Needles",ISNUMBER(FIND("P",B18)),"Phloem")</f>
        <v>Phloem</v>
      </c>
      <c r="D18">
        <v>2</v>
      </c>
      <c r="E18">
        <v>1719.906604</v>
      </c>
      <c r="F18">
        <v>143</v>
      </c>
      <c r="H18" s="12" t="s">
        <v>154</v>
      </c>
      <c r="I18">
        <v>2</v>
      </c>
    </row>
    <row r="19" spans="1:9" x14ac:dyDescent="0.25">
      <c r="A19" t="s">
        <v>36</v>
      </c>
      <c r="B19" t="s">
        <v>14</v>
      </c>
      <c r="C19" t="str" cm="1">
        <f t="array" ref="C19">_xlfn.IFS(ISNUMBER(FIND("N",B19)),"Needles",ISNUMBER(FIND("P",B19)),"Phloem")</f>
        <v>Phloem</v>
      </c>
      <c r="D19">
        <v>2</v>
      </c>
      <c r="E19">
        <v>2172.7812180000001</v>
      </c>
      <c r="F19">
        <v>54</v>
      </c>
      <c r="H19" s="12" t="s">
        <v>155</v>
      </c>
      <c r="I19">
        <v>3</v>
      </c>
    </row>
    <row r="20" spans="1:9" x14ac:dyDescent="0.25">
      <c r="A20" t="s">
        <v>35</v>
      </c>
      <c r="B20" t="s">
        <v>10</v>
      </c>
      <c r="C20" t="str" cm="1">
        <f t="array" ref="C20">_xlfn.IFS(ISNUMBER(FIND("N",B20)),"Needles",ISNUMBER(FIND("P",B20)),"Phloem")</f>
        <v>Phloem</v>
      </c>
      <c r="D20" cm="1">
        <f t="array" ref="D20">_xlfn.IFS(ISNUMBER(FIND("R13C",B20)),3,ISNUMBER(FIND("R22C",B20)),2)</f>
        <v>2</v>
      </c>
      <c r="E20">
        <f>VLOOKUP(F20,ColRef!$A$2:$B$258,2,FALSE)</f>
        <v>2134.8838879999998</v>
      </c>
      <c r="F20">
        <v>60</v>
      </c>
      <c r="H20" s="11">
        <v>2134.8838879999998</v>
      </c>
      <c r="I20">
        <v>4</v>
      </c>
    </row>
    <row r="21" spans="1:9" x14ac:dyDescent="0.25">
      <c r="A21" t="s">
        <v>35</v>
      </c>
      <c r="B21" t="s">
        <v>10</v>
      </c>
      <c r="C21" t="str" cm="1">
        <f t="array" ref="C21">_xlfn.IFS(ISNUMBER(FIND("N",B21)),"Needles",ISNUMBER(FIND("P",B21)),"Phloem")</f>
        <v>Phloem</v>
      </c>
      <c r="D21" cm="1">
        <f t="array" ref="D21">_xlfn.IFS(ISNUMBER(FIND("R13C",B21)),3,ISNUMBER(FIND("R22C",B21)),2)</f>
        <v>2</v>
      </c>
      <c r="E21">
        <f>VLOOKUP(F21,ColRef!$A$2:$B$258,2,FALSE)</f>
        <v>2153.665849</v>
      </c>
      <c r="F21">
        <v>57</v>
      </c>
      <c r="H21" s="12" t="s">
        <v>155</v>
      </c>
      <c r="I21">
        <v>4</v>
      </c>
    </row>
    <row r="22" spans="1:9" x14ac:dyDescent="0.25">
      <c r="A22" t="s">
        <v>35</v>
      </c>
      <c r="B22" t="s">
        <v>10</v>
      </c>
      <c r="C22" t="str" cm="1">
        <f t="array" ref="C22">_xlfn.IFS(ISNUMBER(FIND("N",B22)),"Needles",ISNUMBER(FIND("P",B22)),"Phloem")</f>
        <v>Phloem</v>
      </c>
      <c r="D22" cm="1">
        <f t="array" ref="D22">_xlfn.IFS(ISNUMBER(FIND("R13C",B22)),3,ISNUMBER(FIND("R22C",B22)),2)</f>
        <v>2</v>
      </c>
      <c r="E22">
        <f>VLOOKUP(F22,ColRef!$A$2:$B$258,2,FALSE)</f>
        <v>2141.1080360000001</v>
      </c>
      <c r="F22">
        <v>59</v>
      </c>
      <c r="H22" s="11">
        <v>2407.8689060000002</v>
      </c>
      <c r="I22">
        <v>4</v>
      </c>
    </row>
    <row r="23" spans="1:9" x14ac:dyDescent="0.25">
      <c r="A23" t="s">
        <v>35</v>
      </c>
      <c r="B23" t="s">
        <v>10</v>
      </c>
      <c r="C23" t="str" cm="1">
        <f t="array" ref="C23">_xlfn.IFS(ISNUMBER(FIND("N",B23)),"Needles",ISNUMBER(FIND("P",B23)),"Phloem")</f>
        <v>Phloem</v>
      </c>
      <c r="D23" cm="1">
        <f t="array" ref="D23">_xlfn.IFS(ISNUMBER(FIND("R13C",B23)),3,ISNUMBER(FIND("R22C",B23)),2)</f>
        <v>2</v>
      </c>
      <c r="E23">
        <f>VLOOKUP(F23,ColRef!$A$2:$B$258,2,FALSE)</f>
        <v>2160.0001579999998</v>
      </c>
      <c r="F23">
        <v>56</v>
      </c>
      <c r="H23" s="12" t="s">
        <v>154</v>
      </c>
      <c r="I23">
        <v>2</v>
      </c>
    </row>
    <row r="24" spans="1:9" x14ac:dyDescent="0.25">
      <c r="A24" t="s">
        <v>35</v>
      </c>
      <c r="B24" t="s">
        <v>10</v>
      </c>
      <c r="C24" t="str" cm="1">
        <f t="array" ref="C24">_xlfn.IFS(ISNUMBER(FIND("N",B24)),"Needles",ISNUMBER(FIND("P",B24)),"Phloem")</f>
        <v>Phloem</v>
      </c>
      <c r="D24" cm="1">
        <f t="array" ref="D24">_xlfn.IFS(ISNUMBER(FIND("R13C",B24)),3,ISNUMBER(FIND("R22C",B24)),2)</f>
        <v>2</v>
      </c>
      <c r="E24">
        <f>VLOOKUP(F24,ColRef!$A$2:$B$258,2,FALSE)</f>
        <v>2166.3718370000001</v>
      </c>
      <c r="F24">
        <v>55</v>
      </c>
      <c r="H24" s="12" t="s">
        <v>155</v>
      </c>
      <c r="I24">
        <v>2</v>
      </c>
    </row>
    <row r="25" spans="1:9" x14ac:dyDescent="0.25">
      <c r="A25" t="s">
        <v>35</v>
      </c>
      <c r="B25" t="s">
        <v>10</v>
      </c>
      <c r="C25" t="str" cm="1">
        <f t="array" ref="C25">_xlfn.IFS(ISNUMBER(FIND("N",B25)),"Needles",ISNUMBER(FIND("P",B25)),"Phloem")</f>
        <v>Phloem</v>
      </c>
      <c r="D25" cm="1">
        <f t="array" ref="D25">_xlfn.IFS(ISNUMBER(FIND("R13C",B25)),3,ISNUMBER(FIND("R22C",B25)),2)</f>
        <v>2</v>
      </c>
      <c r="E25">
        <f>VLOOKUP(F25,ColRef!$A$2:$B$258,2,FALSE)</f>
        <v>2400.0000570000002</v>
      </c>
      <c r="F25">
        <v>22</v>
      </c>
      <c r="H25" s="11">
        <v>1471.743802</v>
      </c>
      <c r="I25">
        <v>4</v>
      </c>
    </row>
    <row r="26" spans="1:9" x14ac:dyDescent="0.25">
      <c r="A26" t="s">
        <v>35</v>
      </c>
      <c r="B26" t="s">
        <v>10</v>
      </c>
      <c r="C26" t="str" cm="1">
        <f t="array" ref="C26">_xlfn.IFS(ISNUMBER(FIND("N",B26)),"Needles",ISNUMBER(FIND("P",B26)),"Phloem")</f>
        <v>Phloem</v>
      </c>
      <c r="D26" cm="1">
        <f t="array" ref="D26">_xlfn.IFS(ISNUMBER(FIND("R13C",B26)),3,ISNUMBER(FIND("R22C",B26)),2)</f>
        <v>2</v>
      </c>
      <c r="E26">
        <f>VLOOKUP(F26,ColRef!$A$2:$B$258,2,FALSE)</f>
        <v>1420.5032200000001</v>
      </c>
      <c r="F26">
        <v>233</v>
      </c>
      <c r="H26" s="12" t="s">
        <v>154</v>
      </c>
      <c r="I26">
        <v>4</v>
      </c>
    </row>
    <row r="27" spans="1:9" x14ac:dyDescent="0.25">
      <c r="A27" t="s">
        <v>35</v>
      </c>
      <c r="B27" t="s">
        <v>10</v>
      </c>
      <c r="C27" t="str" cm="1">
        <f t="array" ref="C27">_xlfn.IFS(ISNUMBER(FIND("N",B27)),"Needles",ISNUMBER(FIND("P",B27)),"Phloem")</f>
        <v>Phloem</v>
      </c>
      <c r="D27" cm="1">
        <f t="array" ref="D27">_xlfn.IFS(ISNUMBER(FIND("R13C",B27)),3,ISNUMBER(FIND("R22C",B27)),2)</f>
        <v>2</v>
      </c>
      <c r="E27">
        <f>VLOOKUP(F27,ColRef!$A$2:$B$258,2,FALSE)</f>
        <v>1462.948523</v>
      </c>
      <c r="F27">
        <v>218</v>
      </c>
      <c r="H27" s="11">
        <v>1661.538753</v>
      </c>
      <c r="I27">
        <v>4</v>
      </c>
    </row>
    <row r="28" spans="1:9" x14ac:dyDescent="0.25">
      <c r="A28" t="s">
        <v>35</v>
      </c>
      <c r="B28" t="s">
        <v>14</v>
      </c>
      <c r="C28" t="str" cm="1">
        <f t="array" ref="C28">_xlfn.IFS(ISNUMBER(FIND("N",B28)),"Needles",ISNUMBER(FIND("P",B28)),"Phloem")</f>
        <v>Phloem</v>
      </c>
      <c r="D28" cm="1">
        <f t="array" ref="D28">_xlfn.IFS(ISNUMBER(FIND("R13C",B28)),3,ISNUMBER(FIND("R22C",B28)),2)</f>
        <v>2</v>
      </c>
      <c r="E28">
        <f>VLOOKUP(F28,ColRef!$A$2:$B$258,2,FALSE)</f>
        <v>2172.7812180000001</v>
      </c>
      <c r="F28">
        <v>54</v>
      </c>
      <c r="H28" s="12" t="s">
        <v>154</v>
      </c>
      <c r="I28">
        <v>3</v>
      </c>
    </row>
    <row r="29" spans="1:9" x14ac:dyDescent="0.25">
      <c r="A29" t="s">
        <v>37</v>
      </c>
      <c r="B29" t="s">
        <v>10</v>
      </c>
      <c r="C29" t="str" cm="1">
        <f t="array" ref="C29">_xlfn.IFS(ISNUMBER(FIND("N",B29)),"Needles",ISNUMBER(FIND("P",B29)),"Phloem")</f>
        <v>Phloem</v>
      </c>
      <c r="D29">
        <v>2</v>
      </c>
      <c r="E29">
        <v>2160.0001579999998</v>
      </c>
      <c r="F29">
        <v>56</v>
      </c>
      <c r="H29" s="12" t="s">
        <v>155</v>
      </c>
      <c r="I29">
        <v>1</v>
      </c>
    </row>
    <row r="30" spans="1:9" x14ac:dyDescent="0.25">
      <c r="A30" t="s">
        <v>37</v>
      </c>
      <c r="B30" t="s">
        <v>10</v>
      </c>
      <c r="C30" t="str" cm="1">
        <f t="array" ref="C30">_xlfn.IFS(ISNUMBER(FIND("N",B30)),"Needles",ISNUMBER(FIND("P",B30)),"Phloem")</f>
        <v>Phloem</v>
      </c>
      <c r="D30">
        <v>2</v>
      </c>
      <c r="E30">
        <v>2147.3685829999999</v>
      </c>
      <c r="F30">
        <v>58</v>
      </c>
      <c r="H30" s="11">
        <v>2147.3685829999999</v>
      </c>
      <c r="I30">
        <v>4</v>
      </c>
    </row>
    <row r="31" spans="1:9" x14ac:dyDescent="0.25">
      <c r="A31" t="s">
        <v>37</v>
      </c>
      <c r="B31" t="s">
        <v>10</v>
      </c>
      <c r="C31" t="str" cm="1">
        <f t="array" ref="C31">_xlfn.IFS(ISNUMBER(FIND("N",B31)),"Needles",ISNUMBER(FIND("P",B31)),"Phloem")</f>
        <v>Phloem</v>
      </c>
      <c r="D31">
        <v>2</v>
      </c>
      <c r="E31">
        <v>2153.665849</v>
      </c>
      <c r="F31">
        <v>57</v>
      </c>
      <c r="H31" s="12" t="s">
        <v>154</v>
      </c>
      <c r="I31">
        <v>1</v>
      </c>
    </row>
    <row r="32" spans="1:9" x14ac:dyDescent="0.25">
      <c r="A32" t="s">
        <v>37</v>
      </c>
      <c r="B32" t="s">
        <v>10</v>
      </c>
      <c r="C32" t="str" cm="1">
        <f t="array" ref="C32">_xlfn.IFS(ISNUMBER(FIND("N",B32)),"Needles",ISNUMBER(FIND("P",B32)),"Phloem")</f>
        <v>Phloem</v>
      </c>
      <c r="D32">
        <v>2</v>
      </c>
      <c r="E32">
        <v>2141.1080360000001</v>
      </c>
      <c r="F32">
        <v>59</v>
      </c>
      <c r="H32" s="12" t="s">
        <v>155</v>
      </c>
      <c r="I32">
        <v>3</v>
      </c>
    </row>
    <row r="33" spans="1:9" x14ac:dyDescent="0.25">
      <c r="A33" t="s">
        <v>37</v>
      </c>
      <c r="B33" t="s">
        <v>10</v>
      </c>
      <c r="C33" t="str" cm="1">
        <f t="array" ref="C33">_xlfn.IFS(ISNUMBER(FIND("N",B33)),"Needles",ISNUMBER(FIND("P",B33)),"Phloem")</f>
        <v>Phloem</v>
      </c>
      <c r="D33">
        <v>2</v>
      </c>
      <c r="E33">
        <v>2128.6958209999998</v>
      </c>
      <c r="F33">
        <v>61</v>
      </c>
      <c r="H33" s="11">
        <v>2001.09013</v>
      </c>
      <c r="I33">
        <v>4</v>
      </c>
    </row>
    <row r="34" spans="1:9" x14ac:dyDescent="0.25">
      <c r="A34" t="s">
        <v>37</v>
      </c>
      <c r="B34" t="s">
        <v>10</v>
      </c>
      <c r="C34" t="str" cm="1">
        <f t="array" ref="C34">_xlfn.IFS(ISNUMBER(FIND("N",B34)),"Needles",ISNUMBER(FIND("P",B34)),"Phloem")</f>
        <v>Phloem</v>
      </c>
      <c r="D34">
        <v>2</v>
      </c>
      <c r="E34">
        <v>2122.5435240000002</v>
      </c>
      <c r="F34">
        <v>62</v>
      </c>
      <c r="H34" s="12" t="s">
        <v>154</v>
      </c>
      <c r="I34">
        <v>4</v>
      </c>
    </row>
    <row r="35" spans="1:9" x14ac:dyDescent="0.25">
      <c r="A35" t="s">
        <v>37</v>
      </c>
      <c r="B35" t="s">
        <v>10</v>
      </c>
      <c r="C35" t="str" cm="1">
        <f t="array" ref="C35">_xlfn.IFS(ISNUMBER(FIND("N",B35)),"Needles",ISNUMBER(FIND("P",B35)),"Phloem")</f>
        <v>Phloem</v>
      </c>
      <c r="D35">
        <v>2</v>
      </c>
      <c r="E35">
        <v>2134.8838879999998</v>
      </c>
      <c r="F35">
        <v>60</v>
      </c>
      <c r="H35" s="11">
        <v>2353.8462319999999</v>
      </c>
      <c r="I35">
        <v>3</v>
      </c>
    </row>
    <row r="36" spans="1:9" x14ac:dyDescent="0.25">
      <c r="A36" t="s">
        <v>37</v>
      </c>
      <c r="B36" t="s">
        <v>10</v>
      </c>
      <c r="C36" t="str" cm="1">
        <f t="array" ref="C36">_xlfn.IFS(ISNUMBER(FIND("N",B36)),"Needles",ISNUMBER(FIND("P",B36)),"Phloem")</f>
        <v>Phloem</v>
      </c>
      <c r="D36">
        <v>2</v>
      </c>
      <c r="E36">
        <v>2023.1406999999999</v>
      </c>
      <c r="F36">
        <v>79</v>
      </c>
      <c r="H36" s="12" t="s">
        <v>154</v>
      </c>
      <c r="I36">
        <v>3</v>
      </c>
    </row>
    <row r="37" spans="1:9" x14ac:dyDescent="0.25">
      <c r="A37" t="s">
        <v>37</v>
      </c>
      <c r="B37" t="s">
        <v>10</v>
      </c>
      <c r="C37" t="str" cm="1">
        <f t="array" ref="C37">_xlfn.IFS(ISNUMBER(FIND("N",B37)),"Needles",ISNUMBER(FIND("P",B37)),"Phloem")</f>
        <v>Phloem</v>
      </c>
      <c r="D37">
        <v>2</v>
      </c>
      <c r="E37">
        <v>1462.948523</v>
      </c>
      <c r="F37">
        <v>218</v>
      </c>
      <c r="H37" s="11">
        <v>1468.800315</v>
      </c>
      <c r="I37">
        <v>3</v>
      </c>
    </row>
    <row r="38" spans="1:9" x14ac:dyDescent="0.25">
      <c r="A38" t="s">
        <v>37</v>
      </c>
      <c r="B38" t="s">
        <v>10</v>
      </c>
      <c r="C38" t="str" cm="1">
        <f t="array" ref="C38">_xlfn.IFS(ISNUMBER(FIND("N",B38)),"Needles",ISNUMBER(FIND("P",B38)),"Phloem")</f>
        <v>Phloem</v>
      </c>
      <c r="D38">
        <v>2</v>
      </c>
      <c r="E38">
        <v>2384.415649</v>
      </c>
      <c r="F38">
        <v>24</v>
      </c>
      <c r="H38" s="12" t="s">
        <v>154</v>
      </c>
      <c r="I38">
        <v>3</v>
      </c>
    </row>
    <row r="39" spans="1:9" x14ac:dyDescent="0.25">
      <c r="A39" t="s">
        <v>37</v>
      </c>
      <c r="B39" t="s">
        <v>10</v>
      </c>
      <c r="C39" t="str" cm="1">
        <f t="array" ref="C39">_xlfn.IFS(ISNUMBER(FIND("N",B39)),"Needles",ISNUMBER(FIND("P",B39)),"Phloem")</f>
        <v>Phloem</v>
      </c>
      <c r="D39">
        <v>2</v>
      </c>
      <c r="E39">
        <v>2415.7895229999999</v>
      </c>
      <c r="F39">
        <v>20</v>
      </c>
      <c r="H39" s="11">
        <v>1462.948523</v>
      </c>
      <c r="I39">
        <v>3</v>
      </c>
    </row>
    <row r="40" spans="1:9" x14ac:dyDescent="0.25">
      <c r="A40" t="s">
        <v>37</v>
      </c>
      <c r="B40" t="s">
        <v>10</v>
      </c>
      <c r="C40" t="str" cm="1">
        <f t="array" ref="C40">_xlfn.IFS(ISNUMBER(FIND("N",B40)),"Needles",ISNUMBER(FIND("P",B40)),"Phloem")</f>
        <v>Phloem</v>
      </c>
      <c r="D40">
        <v>2</v>
      </c>
      <c r="E40">
        <v>2116.4266859999998</v>
      </c>
      <c r="F40">
        <v>63</v>
      </c>
      <c r="H40" s="12" t="s">
        <v>155</v>
      </c>
      <c r="I40">
        <v>3</v>
      </c>
    </row>
    <row r="41" spans="1:9" x14ac:dyDescent="0.25">
      <c r="A41" t="s">
        <v>37</v>
      </c>
      <c r="B41" t="s">
        <v>10</v>
      </c>
      <c r="C41" t="str" cm="1">
        <f t="array" ref="C41">_xlfn.IFS(ISNUMBER(FIND("N",B41)),"Needles",ISNUMBER(FIND("P",B41)),"Phloem")</f>
        <v>Phloem</v>
      </c>
      <c r="D41">
        <v>2</v>
      </c>
      <c r="E41">
        <v>2400.0000570000002</v>
      </c>
      <c r="F41">
        <v>22</v>
      </c>
      <c r="H41" s="11">
        <v>1665.306413</v>
      </c>
      <c r="I41">
        <v>3</v>
      </c>
    </row>
    <row r="42" spans="1:9" x14ac:dyDescent="0.25">
      <c r="A42" t="s">
        <v>37</v>
      </c>
      <c r="B42" t="s">
        <v>10</v>
      </c>
      <c r="C42" t="str" cm="1">
        <f t="array" ref="C42">_xlfn.IFS(ISNUMBER(FIND("N",B42)),"Needles",ISNUMBER(FIND("P",B42)),"Phloem")</f>
        <v>Phloem</v>
      </c>
      <c r="D42">
        <v>2</v>
      </c>
      <c r="E42">
        <v>2407.8689060000002</v>
      </c>
      <c r="F42">
        <v>21</v>
      </c>
      <c r="H42" s="12" t="s">
        <v>154</v>
      </c>
      <c r="I42">
        <v>2</v>
      </c>
    </row>
    <row r="43" spans="1:9" x14ac:dyDescent="0.25">
      <c r="A43" t="s">
        <v>37</v>
      </c>
      <c r="B43" t="s">
        <v>10</v>
      </c>
      <c r="C43" t="str" cm="1">
        <f t="array" ref="C43">_xlfn.IFS(ISNUMBER(FIND("N",B43)),"Needles",ISNUMBER(FIND("P",B43)),"Phloem")</f>
        <v>Phloem</v>
      </c>
      <c r="D43">
        <v>2</v>
      </c>
      <c r="E43">
        <v>1428.794093</v>
      </c>
      <c r="F43">
        <v>230</v>
      </c>
      <c r="H43" s="12" t="s">
        <v>155</v>
      </c>
      <c r="I43">
        <v>1</v>
      </c>
    </row>
    <row r="44" spans="1:9" x14ac:dyDescent="0.25">
      <c r="A44" t="s">
        <v>37</v>
      </c>
      <c r="B44" t="s">
        <v>10</v>
      </c>
      <c r="C44" t="str" cm="1">
        <f t="array" ref="C44">_xlfn.IFS(ISNUMBER(FIND("N",B44)),"Needles",ISNUMBER(FIND("P",B44)),"Phloem")</f>
        <v>Phloem</v>
      </c>
      <c r="D44">
        <v>2</v>
      </c>
      <c r="E44">
        <v>2028.729484</v>
      </c>
      <c r="F44">
        <v>78</v>
      </c>
      <c r="H44" s="11">
        <v>1511.1114219999999</v>
      </c>
      <c r="I44">
        <v>3</v>
      </c>
    </row>
    <row r="45" spans="1:9" x14ac:dyDescent="0.25">
      <c r="A45" t="s">
        <v>37</v>
      </c>
      <c r="B45" t="s">
        <v>10</v>
      </c>
      <c r="C45" t="str" cm="1">
        <f t="array" ref="C45">_xlfn.IFS(ISNUMBER(FIND("N",B45)),"Needles",ISNUMBER(FIND("P",B45)),"Phloem")</f>
        <v>Phloem</v>
      </c>
      <c r="D45">
        <v>2</v>
      </c>
      <c r="E45">
        <v>2431.7881219999999</v>
      </c>
      <c r="F45">
        <v>18</v>
      </c>
      <c r="H45" s="12" t="s">
        <v>154</v>
      </c>
      <c r="I45">
        <v>3</v>
      </c>
    </row>
    <row r="46" spans="1:9" x14ac:dyDescent="0.25">
      <c r="A46" t="s">
        <v>37</v>
      </c>
      <c r="B46" t="s">
        <v>10</v>
      </c>
      <c r="C46" t="str" cm="1">
        <f t="array" ref="C46">_xlfn.IFS(ISNUMBER(FIND("N",B46)),"Needles",ISNUMBER(FIND("P",B46)),"Phloem")</f>
        <v>Phloem</v>
      </c>
      <c r="D46">
        <v>2</v>
      </c>
      <c r="E46">
        <v>1465.868579</v>
      </c>
      <c r="F46">
        <v>217</v>
      </c>
      <c r="H46" s="11">
        <v>1696.074188</v>
      </c>
      <c r="I46">
        <v>3</v>
      </c>
    </row>
    <row r="47" spans="1:9" x14ac:dyDescent="0.25">
      <c r="A47" t="s">
        <v>37</v>
      </c>
      <c r="B47" t="s">
        <v>10</v>
      </c>
      <c r="C47" t="str" cm="1">
        <f t="array" ref="C47">_xlfn.IFS(ISNUMBER(FIND("N",B47)),"Needles",ISNUMBER(FIND("P",B47)),"Phloem")</f>
        <v>Phloem</v>
      </c>
      <c r="D47">
        <v>2</v>
      </c>
      <c r="E47">
        <v>2376.6990970000002</v>
      </c>
      <c r="F47">
        <v>25</v>
      </c>
      <c r="H47" s="12" t="s">
        <v>154</v>
      </c>
      <c r="I47">
        <v>3</v>
      </c>
    </row>
    <row r="48" spans="1:9" x14ac:dyDescent="0.25">
      <c r="A48" t="s">
        <v>37</v>
      </c>
      <c r="B48" t="s">
        <v>10</v>
      </c>
      <c r="C48" t="str" cm="1">
        <f t="array" ref="C48">_xlfn.IFS(ISNUMBER(FIND("N",B48)),"Needles",ISNUMBER(FIND("P",B48)),"Phloem")</f>
        <v>Phloem</v>
      </c>
      <c r="D48">
        <v>2</v>
      </c>
      <c r="E48">
        <v>2423.7624219999998</v>
      </c>
      <c r="F48">
        <v>19</v>
      </c>
      <c r="H48" s="11">
        <v>2361.4148660000001</v>
      </c>
      <c r="I48">
        <v>3</v>
      </c>
    </row>
    <row r="49" spans="1:9" x14ac:dyDescent="0.25">
      <c r="A49" t="s">
        <v>37</v>
      </c>
      <c r="B49" t="s">
        <v>14</v>
      </c>
      <c r="C49" t="str" cm="1">
        <f t="array" ref="C49">_xlfn.IFS(ISNUMBER(FIND("N",B49)),"Needles",ISNUMBER(FIND("P",B49)),"Phloem")</f>
        <v>Phloem</v>
      </c>
      <c r="D49">
        <v>2</v>
      </c>
      <c r="E49">
        <v>2166.3718370000001</v>
      </c>
      <c r="F49">
        <v>55</v>
      </c>
      <c r="H49" s="12" t="s">
        <v>154</v>
      </c>
      <c r="I49">
        <v>3</v>
      </c>
    </row>
    <row r="50" spans="1:9" x14ac:dyDescent="0.25">
      <c r="A50" t="s">
        <v>37</v>
      </c>
      <c r="B50" t="s">
        <v>14</v>
      </c>
      <c r="C50" t="str" cm="1">
        <f t="array" ref="C50">_xlfn.IFS(ISNUMBER(FIND("N",B50)),"Needles",ISNUMBER(FIND("P",B50)),"Phloem")</f>
        <v>Phloem</v>
      </c>
      <c r="D50">
        <v>2</v>
      </c>
      <c r="E50">
        <v>2172.7812180000001</v>
      </c>
      <c r="F50">
        <v>54</v>
      </c>
      <c r="H50" s="11">
        <v>2028.729484</v>
      </c>
      <c r="I50">
        <v>3</v>
      </c>
    </row>
    <row r="51" spans="1:9" x14ac:dyDescent="0.25">
      <c r="A51" t="s">
        <v>37</v>
      </c>
      <c r="B51" t="s">
        <v>14</v>
      </c>
      <c r="C51" t="str" cm="1">
        <f t="array" ref="C51">_xlfn.IFS(ISNUMBER(FIND("N",B51)),"Needles",ISNUMBER(FIND("P",B51)),"Phloem")</f>
        <v>Phloem</v>
      </c>
      <c r="D51">
        <v>2</v>
      </c>
      <c r="E51">
        <v>2160.0001579999998</v>
      </c>
      <c r="F51">
        <v>56</v>
      </c>
      <c r="H51" s="12" t="s">
        <v>154</v>
      </c>
      <c r="I51">
        <v>1</v>
      </c>
    </row>
    <row r="52" spans="1:9" x14ac:dyDescent="0.25">
      <c r="A52" t="s">
        <v>37</v>
      </c>
      <c r="B52" t="s">
        <v>14</v>
      </c>
      <c r="C52" t="str" cm="1">
        <f t="array" ref="C52">_xlfn.IFS(ISNUMBER(FIND("N",B52)),"Needles",ISNUMBER(FIND("P",B52)),"Phloem")</f>
        <v>Phloem</v>
      </c>
      <c r="D52">
        <v>2</v>
      </c>
      <c r="E52">
        <v>2179.2286370000002</v>
      </c>
      <c r="F52">
        <v>53</v>
      </c>
      <c r="H52" s="12" t="s">
        <v>155</v>
      </c>
      <c r="I52">
        <v>2</v>
      </c>
    </row>
    <row r="53" spans="1:9" x14ac:dyDescent="0.25">
      <c r="A53" t="s">
        <v>37</v>
      </c>
      <c r="B53" t="s">
        <v>14</v>
      </c>
      <c r="C53" t="str" cm="1">
        <f t="array" ref="C53">_xlfn.IFS(ISNUMBER(FIND("N",B53)),"Needles",ISNUMBER(FIND("P",B53)),"Phloem")</f>
        <v>Phloem</v>
      </c>
      <c r="D53">
        <v>2</v>
      </c>
      <c r="E53">
        <v>1661.538753</v>
      </c>
      <c r="F53">
        <v>158</v>
      </c>
      <c r="H53" s="11">
        <v>2122.5435240000002</v>
      </c>
      <c r="I53">
        <v>3</v>
      </c>
    </row>
    <row r="54" spans="1:9" x14ac:dyDescent="0.25">
      <c r="A54" t="s">
        <v>37</v>
      </c>
      <c r="B54" t="s">
        <v>14</v>
      </c>
      <c r="C54" t="str" cm="1">
        <f t="array" ref="C54">_xlfn.IFS(ISNUMBER(FIND("N",B54)),"Needles",ISNUMBER(FIND("P",B54)),"Phloem")</f>
        <v>Phloem</v>
      </c>
      <c r="D54">
        <v>2</v>
      </c>
      <c r="E54">
        <v>2153.665849</v>
      </c>
      <c r="F54">
        <v>57</v>
      </c>
      <c r="H54" s="12" t="s">
        <v>155</v>
      </c>
      <c r="I54">
        <v>3</v>
      </c>
    </row>
    <row r="55" spans="1:9" x14ac:dyDescent="0.25">
      <c r="A55" t="s">
        <v>37</v>
      </c>
      <c r="B55" t="s">
        <v>14</v>
      </c>
      <c r="C55" t="str" cm="1">
        <f t="array" ref="C55">_xlfn.IFS(ISNUMBER(FIND("N",B55)),"Needles",ISNUMBER(FIND("P",B55)),"Phloem")</f>
        <v>Phloem</v>
      </c>
      <c r="D55">
        <v>2</v>
      </c>
      <c r="E55">
        <v>2185.714434</v>
      </c>
      <c r="F55">
        <v>52</v>
      </c>
      <c r="H55" s="11">
        <v>2369.03233</v>
      </c>
      <c r="I55">
        <v>2</v>
      </c>
    </row>
    <row r="56" spans="1:9" x14ac:dyDescent="0.25">
      <c r="A56" t="s">
        <v>37</v>
      </c>
      <c r="B56" t="s">
        <v>14</v>
      </c>
      <c r="C56" t="str" cm="1">
        <f t="array" ref="C56">_xlfn.IFS(ISNUMBER(FIND("N",B56)),"Needles",ISNUMBER(FIND("P",B56)),"Phloem")</f>
        <v>Phloem</v>
      </c>
      <c r="D56">
        <v>2</v>
      </c>
      <c r="E56">
        <v>2122.5435240000002</v>
      </c>
      <c r="F56">
        <v>62</v>
      </c>
      <c r="H56" s="12" t="s">
        <v>154</v>
      </c>
      <c r="I56">
        <v>2</v>
      </c>
    </row>
    <row r="57" spans="1:9" x14ac:dyDescent="0.25">
      <c r="A57" t="s">
        <v>37</v>
      </c>
      <c r="B57" t="s">
        <v>14</v>
      </c>
      <c r="C57" t="str" cm="1">
        <f t="array" ref="C57">_xlfn.IFS(ISNUMBER(FIND("N",B57)),"Needles",ISNUMBER(FIND("P",B57)),"Phloem")</f>
        <v>Phloem</v>
      </c>
      <c r="D57">
        <v>2</v>
      </c>
      <c r="E57">
        <v>2192.2389520000002</v>
      </c>
      <c r="F57">
        <v>51</v>
      </c>
      <c r="H57" s="11">
        <v>1669.091199</v>
      </c>
      <c r="I57">
        <v>2</v>
      </c>
    </row>
    <row r="58" spans="1:9" x14ac:dyDescent="0.25">
      <c r="A58" t="s">
        <v>37</v>
      </c>
      <c r="B58" t="s">
        <v>14</v>
      </c>
      <c r="C58" t="str" cm="1">
        <f t="array" ref="C58">_xlfn.IFS(ISNUMBER(FIND("N",B58)),"Needles",ISNUMBER(FIND("P",B58)),"Phloem")</f>
        <v>Phloem</v>
      </c>
      <c r="D58">
        <v>2</v>
      </c>
      <c r="E58">
        <v>1822.3327650000001</v>
      </c>
      <c r="F58">
        <v>119</v>
      </c>
      <c r="H58" s="12" t="s">
        <v>154</v>
      </c>
      <c r="I58">
        <v>2</v>
      </c>
    </row>
    <row r="59" spans="1:9" x14ac:dyDescent="0.25">
      <c r="A59" t="s">
        <v>37</v>
      </c>
      <c r="B59" t="s">
        <v>14</v>
      </c>
      <c r="C59" t="str" cm="1">
        <f t="array" ref="C59">_xlfn.IFS(ISNUMBER(FIND("N",B59)),"Needles",ISNUMBER(FIND("P",B59)),"Phloem")</f>
        <v>Phloem</v>
      </c>
      <c r="D59">
        <v>2</v>
      </c>
      <c r="E59">
        <v>2134.8838879999998</v>
      </c>
      <c r="F59">
        <v>60</v>
      </c>
      <c r="H59" s="11">
        <v>2346.3259600000001</v>
      </c>
      <c r="I59">
        <v>2</v>
      </c>
    </row>
    <row r="60" spans="1:9" x14ac:dyDescent="0.25">
      <c r="A60" t="s">
        <v>37</v>
      </c>
      <c r="B60" t="s">
        <v>14</v>
      </c>
      <c r="C60" t="str" cm="1">
        <f t="array" ref="C60">_xlfn.IFS(ISNUMBER(FIND("N",B60)),"Needles",ISNUMBER(FIND("P",B60)),"Phloem")</f>
        <v>Phloem</v>
      </c>
      <c r="D60">
        <v>2</v>
      </c>
      <c r="E60">
        <v>2147.3685829999999</v>
      </c>
      <c r="F60">
        <v>58</v>
      </c>
      <c r="H60" s="12" t="s">
        <v>154</v>
      </c>
      <c r="I60">
        <v>2</v>
      </c>
    </row>
    <row r="61" spans="1:9" x14ac:dyDescent="0.25">
      <c r="A61" t="s">
        <v>37</v>
      </c>
      <c r="B61" t="s">
        <v>14</v>
      </c>
      <c r="C61" t="str" cm="1">
        <f t="array" ref="C61">_xlfn.IFS(ISNUMBER(FIND("N",B61)),"Needles",ISNUMBER(FIND("P",B61)),"Phloem")</f>
        <v>Phloem</v>
      </c>
      <c r="D61">
        <v>2</v>
      </c>
      <c r="E61">
        <v>1813.3335950000001</v>
      </c>
      <c r="F61">
        <v>121</v>
      </c>
      <c r="H61" s="11">
        <v>1692.1661839999999</v>
      </c>
      <c r="I61">
        <v>2</v>
      </c>
    </row>
    <row r="62" spans="1:9" x14ac:dyDescent="0.25">
      <c r="A62" t="s">
        <v>37</v>
      </c>
      <c r="B62" t="s">
        <v>14</v>
      </c>
      <c r="C62" t="str" cm="1">
        <f t="array" ref="C62">_xlfn.IFS(ISNUMBER(FIND("N",B62)),"Needles",ISNUMBER(FIND("P",B62)),"Phloem")</f>
        <v>Phloem</v>
      </c>
      <c r="D62">
        <v>2</v>
      </c>
      <c r="E62">
        <v>1642.9533140000001</v>
      </c>
      <c r="F62">
        <v>163</v>
      </c>
      <c r="H62" s="12" t="s">
        <v>154</v>
      </c>
      <c r="I62">
        <v>2</v>
      </c>
    </row>
    <row r="63" spans="1:9" x14ac:dyDescent="0.25">
      <c r="A63" t="s">
        <v>37</v>
      </c>
      <c r="B63" t="s">
        <v>14</v>
      </c>
      <c r="C63" t="str" cm="1">
        <f t="array" ref="C63">_xlfn.IFS(ISNUMBER(FIND("N",B63)),"Needles",ISNUMBER(FIND("P",B63)),"Phloem")</f>
        <v>Phloem</v>
      </c>
      <c r="D63">
        <v>2</v>
      </c>
      <c r="E63">
        <v>1817.822042</v>
      </c>
      <c r="F63">
        <v>120</v>
      </c>
      <c r="H63" s="11">
        <v>2415.7895229999999</v>
      </c>
      <c r="I63">
        <v>2</v>
      </c>
    </row>
    <row r="64" spans="1:9" x14ac:dyDescent="0.25">
      <c r="A64" t="s">
        <v>37</v>
      </c>
      <c r="B64" t="s">
        <v>14</v>
      </c>
      <c r="C64" t="str" cm="1">
        <f t="array" ref="C64">_xlfn.IFS(ISNUMBER(FIND("N",B64)),"Needles",ISNUMBER(FIND("P",B64)),"Phloem")</f>
        <v>Phloem</v>
      </c>
      <c r="D64">
        <v>2</v>
      </c>
      <c r="E64">
        <v>1665.306413</v>
      </c>
      <c r="F64">
        <v>157</v>
      </c>
      <c r="H64" s="12" t="s">
        <v>155</v>
      </c>
      <c r="I64">
        <v>2</v>
      </c>
    </row>
    <row r="65" spans="1:9" x14ac:dyDescent="0.25">
      <c r="A65" t="s">
        <v>37</v>
      </c>
      <c r="B65" t="s">
        <v>14</v>
      </c>
      <c r="C65" t="str" cm="1">
        <f t="array" ref="C65">_xlfn.IFS(ISNUMBER(FIND("N",B65)),"Needles",ISNUMBER(FIND("P",B65)),"Phloem")</f>
        <v>Phloem</v>
      </c>
      <c r="D65">
        <v>2</v>
      </c>
      <c r="E65">
        <v>1672.8932279999999</v>
      </c>
      <c r="F65">
        <v>155</v>
      </c>
      <c r="H65" s="11">
        <v>1420.5032200000001</v>
      </c>
      <c r="I65">
        <v>2</v>
      </c>
    </row>
    <row r="66" spans="1:9" x14ac:dyDescent="0.25">
      <c r="A66" t="s">
        <v>37</v>
      </c>
      <c r="B66" t="s">
        <v>14</v>
      </c>
      <c r="C66" t="str" cm="1">
        <f t="array" ref="C66">_xlfn.IFS(ISNUMBER(FIND("N",B66)),"Needles",ISNUMBER(FIND("P",B66)),"Phloem")</f>
        <v>Phloem</v>
      </c>
      <c r="D66">
        <v>2</v>
      </c>
      <c r="E66">
        <v>2448.0000340000001</v>
      </c>
      <c r="F66">
        <v>16</v>
      </c>
      <c r="H66" s="12" t="s">
        <v>155</v>
      </c>
      <c r="I66">
        <v>2</v>
      </c>
    </row>
    <row r="67" spans="1:9" x14ac:dyDescent="0.25">
      <c r="A67" t="s">
        <v>37</v>
      </c>
      <c r="B67" t="s">
        <v>14</v>
      </c>
      <c r="C67" t="str" cm="1">
        <f t="array" ref="C67">_xlfn.IFS(ISNUMBER(FIND("N",B67)),"Needles",ISNUMBER(FIND("P",B67)),"Phloem")</f>
        <v>Phloem</v>
      </c>
      <c r="D67">
        <v>2</v>
      </c>
      <c r="E67">
        <v>1808.8672570000001</v>
      </c>
      <c r="F67">
        <v>122</v>
      </c>
      <c r="H67" s="11">
        <v>2128.6958209999998</v>
      </c>
      <c r="I67">
        <v>2</v>
      </c>
    </row>
    <row r="68" spans="1:9" x14ac:dyDescent="0.25">
      <c r="A68" t="s">
        <v>37</v>
      </c>
      <c r="B68" t="s">
        <v>14</v>
      </c>
      <c r="C68" t="str" cm="1">
        <f t="array" ref="C68">_xlfn.IFS(ISNUMBER(FIND("N",B68)),"Needles",ISNUMBER(FIND("P",B68)),"Phloem")</f>
        <v>Phloem</v>
      </c>
      <c r="D68">
        <v>2</v>
      </c>
      <c r="E68">
        <v>2141.1080360000001</v>
      </c>
      <c r="F68">
        <v>59</v>
      </c>
      <c r="H68" s="12" t="s">
        <v>155</v>
      </c>
      <c r="I68">
        <v>2</v>
      </c>
    </row>
    <row r="69" spans="1:9" x14ac:dyDescent="0.25">
      <c r="A69" t="s">
        <v>36</v>
      </c>
      <c r="B69" t="s">
        <v>8</v>
      </c>
      <c r="C69" t="str" cm="1">
        <f t="array" ref="C69">_xlfn.IFS(ISNUMBER(FIND("N",B69)),"Needles",ISNUMBER(FIND("P",B69)),"Phloem")</f>
        <v>Needles</v>
      </c>
      <c r="D69">
        <v>2</v>
      </c>
      <c r="E69">
        <v>2160.0001579999998</v>
      </c>
      <c r="F69">
        <v>56</v>
      </c>
      <c r="H69" s="11">
        <v>1990.244117</v>
      </c>
      <c r="I69">
        <v>2</v>
      </c>
    </row>
    <row r="70" spans="1:9" x14ac:dyDescent="0.25">
      <c r="A70" t="s">
        <v>36</v>
      </c>
      <c r="B70" t="s">
        <v>8</v>
      </c>
      <c r="C70" t="str" cm="1">
        <f t="array" ref="C70">_xlfn.IFS(ISNUMBER(FIND("N",B70)),"Needles",ISNUMBER(FIND("P",B70)),"Phloem")</f>
        <v>Needles</v>
      </c>
      <c r="D70">
        <v>2</v>
      </c>
      <c r="E70">
        <v>1511.1114219999999</v>
      </c>
      <c r="F70">
        <v>202</v>
      </c>
      <c r="H70" s="12" t="s">
        <v>154</v>
      </c>
      <c r="I70">
        <v>2</v>
      </c>
    </row>
    <row r="71" spans="1:9" x14ac:dyDescent="0.25">
      <c r="A71" t="s">
        <v>36</v>
      </c>
      <c r="B71" t="s">
        <v>8</v>
      </c>
      <c r="C71" t="str" cm="1">
        <f t="array" ref="C71">_xlfn.IFS(ISNUMBER(FIND("N",B71)),"Needles",ISNUMBER(FIND("P",B71)),"Phloem")</f>
        <v>Needles</v>
      </c>
      <c r="D71">
        <v>2</v>
      </c>
      <c r="E71">
        <v>2153.665849</v>
      </c>
      <c r="F71">
        <v>57</v>
      </c>
      <c r="H71" s="11">
        <v>2116.4266859999998</v>
      </c>
      <c r="I71">
        <v>2</v>
      </c>
    </row>
    <row r="72" spans="1:9" x14ac:dyDescent="0.25">
      <c r="A72" t="s">
        <v>36</v>
      </c>
      <c r="B72" t="s">
        <v>8</v>
      </c>
      <c r="C72" t="str" cm="1">
        <f t="array" ref="C72">_xlfn.IFS(ISNUMBER(FIND("N",B72)),"Needles",ISNUMBER(FIND("P",B72)),"Phloem")</f>
        <v>Needles</v>
      </c>
      <c r="D72">
        <v>2</v>
      </c>
      <c r="E72">
        <v>2166.3718370000001</v>
      </c>
      <c r="F72">
        <v>55</v>
      </c>
      <c r="H72" s="12" t="s">
        <v>155</v>
      </c>
      <c r="I72">
        <v>2</v>
      </c>
    </row>
    <row r="73" spans="1:9" x14ac:dyDescent="0.25">
      <c r="A73" t="s">
        <v>36</v>
      </c>
      <c r="B73" t="s">
        <v>8</v>
      </c>
      <c r="C73" t="str" cm="1">
        <f t="array" ref="C73">_xlfn.IFS(ISNUMBER(FIND("N",B73)),"Needles",ISNUMBER(FIND("P",B73)),"Phloem")</f>
        <v>Needles</v>
      </c>
      <c r="D73">
        <v>2</v>
      </c>
      <c r="E73">
        <v>2400.0000570000002</v>
      </c>
      <c r="F73">
        <v>22</v>
      </c>
      <c r="H73" s="11">
        <v>2384.415649</v>
      </c>
      <c r="I73">
        <v>1</v>
      </c>
    </row>
    <row r="74" spans="1:9" x14ac:dyDescent="0.25">
      <c r="A74" t="s">
        <v>36</v>
      </c>
      <c r="B74" t="s">
        <v>8</v>
      </c>
      <c r="C74" t="str" cm="1">
        <f t="array" ref="C74">_xlfn.IFS(ISNUMBER(FIND("N",B74)),"Needles",ISNUMBER(FIND("P",B74)),"Phloem")</f>
        <v>Needles</v>
      </c>
      <c r="D74">
        <v>2</v>
      </c>
      <c r="E74">
        <v>1665.306413</v>
      </c>
      <c r="F74">
        <v>157</v>
      </c>
      <c r="H74" s="12" t="s">
        <v>155</v>
      </c>
      <c r="I74">
        <v>1</v>
      </c>
    </row>
    <row r="75" spans="1:9" x14ac:dyDescent="0.25">
      <c r="A75" t="s">
        <v>36</v>
      </c>
      <c r="B75" t="s">
        <v>8</v>
      </c>
      <c r="C75" t="str" cm="1">
        <f t="array" ref="C75">_xlfn.IFS(ISNUMBER(FIND("N",B75)),"Needles",ISNUMBER(FIND("P",B75)),"Phloem")</f>
        <v>Needles</v>
      </c>
      <c r="D75">
        <v>2</v>
      </c>
      <c r="E75">
        <v>2147.3685829999999</v>
      </c>
      <c r="F75">
        <v>58</v>
      </c>
      <c r="H75" s="11">
        <v>2205.405546</v>
      </c>
      <c r="I75">
        <v>1</v>
      </c>
    </row>
    <row r="76" spans="1:9" x14ac:dyDescent="0.25">
      <c r="A76" t="s">
        <v>36</v>
      </c>
      <c r="B76" t="s">
        <v>8</v>
      </c>
      <c r="C76" t="str" cm="1">
        <f t="array" ref="C76">_xlfn.IFS(ISNUMBER(FIND("N",B76)),"Needles",ISNUMBER(FIND("P",B76)),"Phloem")</f>
        <v>Needles</v>
      </c>
      <c r="D76">
        <v>2</v>
      </c>
      <c r="E76">
        <v>2034.3492309999999</v>
      </c>
      <c r="F76">
        <v>77</v>
      </c>
      <c r="H76" s="12" t="s">
        <v>155</v>
      </c>
      <c r="I76">
        <v>1</v>
      </c>
    </row>
    <row r="77" spans="1:9" x14ac:dyDescent="0.25">
      <c r="A77" t="s">
        <v>36</v>
      </c>
      <c r="B77" t="s">
        <v>8</v>
      </c>
      <c r="C77" t="str" cm="1">
        <f t="array" ref="C77">_xlfn.IFS(ISNUMBER(FIND("N",B77)),"Needles",ISNUMBER(FIND("P",B77)),"Phloem")</f>
        <v>Needles</v>
      </c>
      <c r="D77">
        <v>2</v>
      </c>
      <c r="E77">
        <v>2172.7812180000001</v>
      </c>
      <c r="F77">
        <v>54</v>
      </c>
      <c r="H77" s="11">
        <v>2456.1873209999999</v>
      </c>
      <c r="I77">
        <v>1</v>
      </c>
    </row>
    <row r="78" spans="1:9" x14ac:dyDescent="0.25">
      <c r="A78" t="s">
        <v>36</v>
      </c>
      <c r="B78" t="s">
        <v>8</v>
      </c>
      <c r="C78" t="str" cm="1">
        <f t="array" ref="C78">_xlfn.IFS(ISNUMBER(FIND("N",B78)),"Needles",ISNUMBER(FIND("P",B78)),"Phloem")</f>
        <v>Needles</v>
      </c>
      <c r="D78">
        <v>2</v>
      </c>
      <c r="E78">
        <v>1661.538753</v>
      </c>
      <c r="F78">
        <v>158</v>
      </c>
      <c r="H78" s="12" t="s">
        <v>154</v>
      </c>
      <c r="I78">
        <v>1</v>
      </c>
    </row>
    <row r="79" spans="1:9" x14ac:dyDescent="0.25">
      <c r="A79" t="s">
        <v>36</v>
      </c>
      <c r="B79" t="s">
        <v>8</v>
      </c>
      <c r="C79" t="str" cm="1">
        <f t="array" ref="C79">_xlfn.IFS(ISNUMBER(FIND("N",B79)),"Needles",ISNUMBER(FIND("P",B79)),"Phloem")</f>
        <v>Needles</v>
      </c>
      <c r="D79">
        <v>2</v>
      </c>
      <c r="E79">
        <v>2392.1824710000001</v>
      </c>
      <c r="F79">
        <v>23</v>
      </c>
      <c r="H79" s="11">
        <v>1963.6365860000001</v>
      </c>
      <c r="I79">
        <v>1</v>
      </c>
    </row>
    <row r="80" spans="1:9" x14ac:dyDescent="0.25">
      <c r="A80" t="s">
        <v>36</v>
      </c>
      <c r="B80" t="s">
        <v>8</v>
      </c>
      <c r="C80" t="str" cm="1">
        <f t="array" ref="C80">_xlfn.IFS(ISNUMBER(FIND("N",B80)),"Needles",ISNUMBER(FIND("P",B80)),"Phloem")</f>
        <v>Needles</v>
      </c>
      <c r="D80">
        <v>2</v>
      </c>
      <c r="E80">
        <v>1514.2271149999999</v>
      </c>
      <c r="F80">
        <v>201</v>
      </c>
      <c r="H80" s="12" t="s">
        <v>154</v>
      </c>
      <c r="I80">
        <v>1</v>
      </c>
    </row>
    <row r="81" spans="1:9" x14ac:dyDescent="0.25">
      <c r="A81" t="s">
        <v>36</v>
      </c>
      <c r="B81" t="s">
        <v>8</v>
      </c>
      <c r="C81" t="str" cm="1">
        <f t="array" ref="C81">_xlfn.IFS(ISNUMBER(FIND("N",B81)),"Needles",ISNUMBER(FIND("P",B81)),"Phloem")</f>
        <v>Needles</v>
      </c>
      <c r="D81">
        <v>2</v>
      </c>
      <c r="E81">
        <v>2028.729484</v>
      </c>
      <c r="F81">
        <v>78</v>
      </c>
      <c r="H81" s="11">
        <v>1817.822042</v>
      </c>
      <c r="I81">
        <v>1</v>
      </c>
    </row>
    <row r="82" spans="1:9" x14ac:dyDescent="0.25">
      <c r="A82" t="s">
        <v>36</v>
      </c>
      <c r="B82" t="s">
        <v>8</v>
      </c>
      <c r="C82" t="str" cm="1">
        <f t="array" ref="C82">_xlfn.IFS(ISNUMBER(FIND("N",B82)),"Needles",ISNUMBER(FIND("P",B82)),"Phloem")</f>
        <v>Needles</v>
      </c>
      <c r="D82">
        <v>2</v>
      </c>
      <c r="E82">
        <v>2324.0507240000002</v>
      </c>
      <c r="F82">
        <v>32</v>
      </c>
      <c r="H82" s="12" t="s">
        <v>155</v>
      </c>
      <c r="I82">
        <v>1</v>
      </c>
    </row>
    <row r="83" spans="1:9" x14ac:dyDescent="0.25">
      <c r="A83" t="s">
        <v>36</v>
      </c>
      <c r="B83" t="s">
        <v>8</v>
      </c>
      <c r="C83" t="str" cm="1">
        <f t="array" ref="C83">_xlfn.IFS(ISNUMBER(FIND("N",B83)),"Needles",ISNUMBER(FIND("P",B83)),"Phloem")</f>
        <v>Needles</v>
      </c>
      <c r="D83">
        <v>2</v>
      </c>
      <c r="E83">
        <v>2141.1080360000001</v>
      </c>
      <c r="F83">
        <v>59</v>
      </c>
      <c r="H83" s="11">
        <v>1672.8932279999999</v>
      </c>
      <c r="I83">
        <v>1</v>
      </c>
    </row>
    <row r="84" spans="1:9" x14ac:dyDescent="0.25">
      <c r="A84" t="s">
        <v>36</v>
      </c>
      <c r="B84" t="s">
        <v>8</v>
      </c>
      <c r="C84" t="str" cm="1">
        <f t="array" ref="C84">_xlfn.IFS(ISNUMBER(FIND("N",B84)),"Needles",ISNUMBER(FIND("P",B84)),"Phloem")</f>
        <v>Needles</v>
      </c>
      <c r="D84">
        <v>2</v>
      </c>
      <c r="E84">
        <v>2407.8689060000002</v>
      </c>
      <c r="F84">
        <v>21</v>
      </c>
      <c r="H84" s="12" t="s">
        <v>155</v>
      </c>
      <c r="I84">
        <v>1</v>
      </c>
    </row>
    <row r="85" spans="1:9" x14ac:dyDescent="0.25">
      <c r="A85" t="s">
        <v>36</v>
      </c>
      <c r="B85" t="s">
        <v>8</v>
      </c>
      <c r="C85" t="str" cm="1">
        <f t="array" ref="C85">_xlfn.IFS(ISNUMBER(FIND("N",B85)),"Needles",ISNUMBER(FIND("P",B85)),"Phloem")</f>
        <v>Needles</v>
      </c>
      <c r="D85">
        <v>2</v>
      </c>
      <c r="E85">
        <v>1990.244117</v>
      </c>
      <c r="F85">
        <v>85</v>
      </c>
      <c r="H85" s="11">
        <v>1953.1917149999999</v>
      </c>
      <c r="I85">
        <v>1</v>
      </c>
    </row>
    <row r="86" spans="1:9" x14ac:dyDescent="0.25">
      <c r="A86" t="s">
        <v>36</v>
      </c>
      <c r="B86" t="s">
        <v>8</v>
      </c>
      <c r="C86" t="str" cm="1">
        <f t="array" ref="C86">_xlfn.IFS(ISNUMBER(FIND("N",B86)),"Needles",ISNUMBER(FIND("P",B86)),"Phloem")</f>
        <v>Needles</v>
      </c>
      <c r="D86">
        <v>2</v>
      </c>
      <c r="E86">
        <v>1471.743802</v>
      </c>
      <c r="F86">
        <v>215</v>
      </c>
      <c r="H86" s="12" t="s">
        <v>154</v>
      </c>
      <c r="I86">
        <v>1</v>
      </c>
    </row>
    <row r="87" spans="1:9" x14ac:dyDescent="0.25">
      <c r="A87" t="s">
        <v>36</v>
      </c>
      <c r="B87" t="s">
        <v>12</v>
      </c>
      <c r="C87" t="str" cm="1">
        <f t="array" ref="C87">_xlfn.IFS(ISNUMBER(FIND("N",B87)),"Needles",ISNUMBER(FIND("P",B87)),"Phloem")</f>
        <v>Needles</v>
      </c>
      <c r="D87">
        <v>2</v>
      </c>
      <c r="E87">
        <v>2353.8462319999999</v>
      </c>
      <c r="F87">
        <v>28</v>
      </c>
      <c r="H87" s="11">
        <v>1995.6523870000001</v>
      </c>
      <c r="I87">
        <v>1</v>
      </c>
    </row>
    <row r="88" spans="1:9" x14ac:dyDescent="0.25">
      <c r="A88" t="s">
        <v>36</v>
      </c>
      <c r="B88" t="s">
        <v>12</v>
      </c>
      <c r="C88" t="str" cm="1">
        <f t="array" ref="C88">_xlfn.IFS(ISNUMBER(FIND("N",B88)),"Needles",ISNUMBER(FIND("P",B88)),"Phloem")</f>
        <v>Needles</v>
      </c>
      <c r="D88">
        <v>2</v>
      </c>
      <c r="E88">
        <v>2361.4148660000001</v>
      </c>
      <c r="F88">
        <v>27</v>
      </c>
      <c r="H88" s="12" t="s">
        <v>154</v>
      </c>
      <c r="I88">
        <v>1</v>
      </c>
    </row>
    <row r="89" spans="1:9" x14ac:dyDescent="0.25">
      <c r="A89" t="s">
        <v>36</v>
      </c>
      <c r="B89" t="s">
        <v>12</v>
      </c>
      <c r="C89" t="str" cm="1">
        <f t="array" ref="C89">_xlfn.IFS(ISNUMBER(FIND("N",B89)),"Needles",ISNUMBER(FIND("P",B89)),"Phloem")</f>
        <v>Needles</v>
      </c>
      <c r="D89">
        <v>2</v>
      </c>
      <c r="E89">
        <v>1696.074188</v>
      </c>
      <c r="F89">
        <v>149</v>
      </c>
      <c r="H89" s="11">
        <v>2185.714434</v>
      </c>
      <c r="I89">
        <v>1</v>
      </c>
    </row>
    <row r="90" spans="1:9" x14ac:dyDescent="0.25">
      <c r="A90" t="s">
        <v>36</v>
      </c>
      <c r="B90" t="s">
        <v>12</v>
      </c>
      <c r="C90" t="str" cm="1">
        <f t="array" ref="C90">_xlfn.IFS(ISNUMBER(FIND("N",B90)),"Needles",ISNUMBER(FIND("P",B90)),"Phloem")</f>
        <v>Needles</v>
      </c>
      <c r="D90">
        <v>2</v>
      </c>
      <c r="E90">
        <v>2001.09013</v>
      </c>
      <c r="F90">
        <v>83</v>
      </c>
      <c r="H90" s="12" t="s">
        <v>155</v>
      </c>
      <c r="I90">
        <v>1</v>
      </c>
    </row>
    <row r="91" spans="1:9" x14ac:dyDescent="0.25">
      <c r="A91" t="s">
        <v>36</v>
      </c>
      <c r="B91" t="s">
        <v>12</v>
      </c>
      <c r="C91" t="str" cm="1">
        <f t="array" ref="C91">_xlfn.IFS(ISNUMBER(FIND("N",B91)),"Needles",ISNUMBER(FIND("P",B91)),"Phloem")</f>
        <v>Needles</v>
      </c>
      <c r="D91">
        <v>2</v>
      </c>
      <c r="E91">
        <v>1692.1661839999999</v>
      </c>
      <c r="F91">
        <v>150</v>
      </c>
      <c r="H91" s="11">
        <v>1409.5972489999999</v>
      </c>
      <c r="I91">
        <v>1</v>
      </c>
    </row>
    <row r="92" spans="1:9" x14ac:dyDescent="0.25">
      <c r="A92" t="s">
        <v>36</v>
      </c>
      <c r="B92" t="s">
        <v>12</v>
      </c>
      <c r="C92" t="str" cm="1">
        <f t="array" ref="C92">_xlfn.IFS(ISNUMBER(FIND("N",B92)),"Needles",ISNUMBER(FIND("P",B92)),"Phloem")</f>
        <v>Needles</v>
      </c>
      <c r="D92">
        <v>2</v>
      </c>
      <c r="E92">
        <v>2369.03233</v>
      </c>
      <c r="F92">
        <v>26</v>
      </c>
      <c r="H92" s="12" t="s">
        <v>154</v>
      </c>
      <c r="I92">
        <v>1</v>
      </c>
    </row>
    <row r="93" spans="1:9" x14ac:dyDescent="0.25">
      <c r="A93" t="s">
        <v>36</v>
      </c>
      <c r="B93" t="s">
        <v>12</v>
      </c>
      <c r="C93" t="str" cm="1">
        <f t="array" ref="C93">_xlfn.IFS(ISNUMBER(FIND("N",B93)),"Needles",ISNUMBER(FIND("P",B93)),"Phloem")</f>
        <v>Needles</v>
      </c>
      <c r="D93">
        <v>2</v>
      </c>
      <c r="E93">
        <v>1468.800315</v>
      </c>
      <c r="F93">
        <v>216</v>
      </c>
      <c r="H93" s="11">
        <v>2324.0507240000002</v>
      </c>
      <c r="I93">
        <v>1</v>
      </c>
    </row>
    <row r="94" spans="1:9" x14ac:dyDescent="0.25">
      <c r="A94" t="s">
        <v>36</v>
      </c>
      <c r="B94" t="s">
        <v>12</v>
      </c>
      <c r="C94" t="str" cm="1">
        <f t="array" ref="C94">_xlfn.IFS(ISNUMBER(FIND("N",B94)),"Needles",ISNUMBER(FIND("P",B94)),"Phloem")</f>
        <v>Needles</v>
      </c>
      <c r="D94">
        <v>2</v>
      </c>
      <c r="E94">
        <v>2346.3259600000001</v>
      </c>
      <c r="F94">
        <v>29</v>
      </c>
      <c r="H94" s="12" t="s">
        <v>154</v>
      </c>
      <c r="I94">
        <v>1</v>
      </c>
    </row>
    <row r="95" spans="1:9" x14ac:dyDescent="0.25">
      <c r="A95" t="s">
        <v>35</v>
      </c>
      <c r="B95" t="s">
        <v>8</v>
      </c>
      <c r="C95" t="str" cm="1">
        <f t="array" ref="C95">_xlfn.IFS(ISNUMBER(FIND("N",B95)),"Needles",ISNUMBER(FIND("P",B95)),"Phloem")</f>
        <v>Needles</v>
      </c>
      <c r="D95" cm="1">
        <f t="array" ref="D95">_xlfn.IFS(ISNUMBER(FIND("R13C",B95)),3,ISNUMBER(FIND("R22C",B95)),2)</f>
        <v>2</v>
      </c>
      <c r="E95">
        <f>VLOOKUP(F95,ColRef!$A$2:$B$258,2,FALSE)</f>
        <v>2160.0001579999998</v>
      </c>
      <c r="F95">
        <v>56</v>
      </c>
      <c r="H95" s="11">
        <v>2006.557587</v>
      </c>
      <c r="I95">
        <v>1</v>
      </c>
    </row>
    <row r="96" spans="1:9" x14ac:dyDescent="0.25">
      <c r="A96" t="s">
        <v>35</v>
      </c>
      <c r="B96" t="s">
        <v>8</v>
      </c>
      <c r="C96" t="str" cm="1">
        <f t="array" ref="C96">_xlfn.IFS(ISNUMBER(FIND("N",B96)),"Needles",ISNUMBER(FIND("P",B96)),"Phloem")</f>
        <v>Needles</v>
      </c>
      <c r="D96" cm="1">
        <f t="array" ref="D96">_xlfn.IFS(ISNUMBER(FIND("R13C",B96)),3,ISNUMBER(FIND("R22C",B96)),2)</f>
        <v>2</v>
      </c>
      <c r="E96">
        <f>VLOOKUP(F96,ColRef!$A$2:$B$258,2,FALSE)</f>
        <v>1511.1114219999999</v>
      </c>
      <c r="F96">
        <v>202</v>
      </c>
      <c r="H96" s="12" t="s">
        <v>154</v>
      </c>
      <c r="I96">
        <v>1</v>
      </c>
    </row>
    <row r="97" spans="1:9" x14ac:dyDescent="0.25">
      <c r="A97" t="s">
        <v>35</v>
      </c>
      <c r="B97" t="s">
        <v>8</v>
      </c>
      <c r="C97" t="str" cm="1">
        <f t="array" ref="C97">_xlfn.IFS(ISNUMBER(FIND("N",B97)),"Needles",ISNUMBER(FIND("P",B97)),"Phloem")</f>
        <v>Needles</v>
      </c>
      <c r="D97" cm="1">
        <f t="array" ref="D97">_xlfn.IFS(ISNUMBER(FIND("R13C",B97)),3,ISNUMBER(FIND("R22C",B97)),2)</f>
        <v>2</v>
      </c>
      <c r="E97">
        <f>VLOOKUP(F97,ColRef!$A$2:$B$258,2,FALSE)</f>
        <v>2400.0000570000002</v>
      </c>
      <c r="F97">
        <v>22</v>
      </c>
      <c r="H97" s="11">
        <v>1912.500237</v>
      </c>
      <c r="I97">
        <v>1</v>
      </c>
    </row>
    <row r="98" spans="1:9" x14ac:dyDescent="0.25">
      <c r="A98" t="s">
        <v>35</v>
      </c>
      <c r="B98" t="s">
        <v>8</v>
      </c>
      <c r="C98" t="str" cm="1">
        <f t="array" ref="C98">_xlfn.IFS(ISNUMBER(FIND("N",B98)),"Needles",ISNUMBER(FIND("P",B98)),"Phloem")</f>
        <v>Needles</v>
      </c>
      <c r="D98" cm="1">
        <f t="array" ref="D98">_xlfn.IFS(ISNUMBER(FIND("R13C",B98)),3,ISNUMBER(FIND("R22C",B98)),2)</f>
        <v>2</v>
      </c>
      <c r="E98">
        <f>VLOOKUP(F98,ColRef!$A$2:$B$258,2,FALSE)</f>
        <v>1665.306413</v>
      </c>
      <c r="F98">
        <v>157</v>
      </c>
      <c r="H98" s="12" t="s">
        <v>154</v>
      </c>
      <c r="I98">
        <v>1</v>
      </c>
    </row>
    <row r="99" spans="1:9" x14ac:dyDescent="0.25">
      <c r="A99" t="s">
        <v>35</v>
      </c>
      <c r="B99" t="s">
        <v>8</v>
      </c>
      <c r="C99" t="str" cm="1">
        <f t="array" ref="C99">_xlfn.IFS(ISNUMBER(FIND("N",B99)),"Needles",ISNUMBER(FIND("P",B99)),"Phloem")</f>
        <v>Needles</v>
      </c>
      <c r="D99" cm="1">
        <f t="array" ref="D99">_xlfn.IFS(ISNUMBER(FIND("R13C",B99)),3,ISNUMBER(FIND("R22C",B99)),2)</f>
        <v>2</v>
      </c>
      <c r="E99">
        <f>VLOOKUP(F99,ColRef!$A$2:$B$258,2,FALSE)</f>
        <v>1661.538753</v>
      </c>
      <c r="F99">
        <v>158</v>
      </c>
      <c r="H99" s="11">
        <v>2017.5826239999999</v>
      </c>
      <c r="I99">
        <v>1</v>
      </c>
    </row>
    <row r="100" spans="1:9" x14ac:dyDescent="0.25">
      <c r="A100" t="s">
        <v>35</v>
      </c>
      <c r="B100" t="s">
        <v>8</v>
      </c>
      <c r="C100" t="str" cm="1">
        <f t="array" ref="C100">_xlfn.IFS(ISNUMBER(FIND("N",B100)),"Needles",ISNUMBER(FIND("P",B100)),"Phloem")</f>
        <v>Needles</v>
      </c>
      <c r="D100" cm="1">
        <f t="array" ref="D100">_xlfn.IFS(ISNUMBER(FIND("R13C",B100)),3,ISNUMBER(FIND("R22C",B100)),2)</f>
        <v>2</v>
      </c>
      <c r="E100">
        <f>VLOOKUP(F100,ColRef!$A$2:$B$258,2,FALSE)</f>
        <v>1990.244117</v>
      </c>
      <c r="F100">
        <v>85</v>
      </c>
      <c r="H100" s="12" t="s">
        <v>154</v>
      </c>
      <c r="I100">
        <v>1</v>
      </c>
    </row>
    <row r="101" spans="1:9" x14ac:dyDescent="0.25">
      <c r="A101" t="s">
        <v>35</v>
      </c>
      <c r="B101" t="s">
        <v>8</v>
      </c>
      <c r="C101" t="str" cm="1">
        <f t="array" ref="C101">_xlfn.IFS(ISNUMBER(FIND("N",B101)),"Needles",ISNUMBER(FIND("P",B101)),"Phloem")</f>
        <v>Needles</v>
      </c>
      <c r="D101" cm="1">
        <f t="array" ref="D101">_xlfn.IFS(ISNUMBER(FIND("R13C",B101)),3,ISNUMBER(FIND("R22C",B101)),2)</f>
        <v>2</v>
      </c>
      <c r="E101">
        <f>VLOOKUP(F101,ColRef!$A$2:$B$258,2,FALSE)</f>
        <v>1471.743802</v>
      </c>
      <c r="F101">
        <v>215</v>
      </c>
      <c r="H101" s="11">
        <v>1514.2271149999999</v>
      </c>
      <c r="I101">
        <v>1</v>
      </c>
    </row>
    <row r="102" spans="1:9" x14ac:dyDescent="0.25">
      <c r="A102" t="s">
        <v>35</v>
      </c>
      <c r="B102" t="s">
        <v>12</v>
      </c>
      <c r="C102" t="str" cm="1">
        <f t="array" ref="C102">_xlfn.IFS(ISNUMBER(FIND("N",B102)),"Needles",ISNUMBER(FIND("P",B102)),"Phloem")</f>
        <v>Needles</v>
      </c>
      <c r="D102" cm="1">
        <f t="array" ref="D102">_xlfn.IFS(ISNUMBER(FIND("R13C",B102)),3,ISNUMBER(FIND("R22C",B102)),2)</f>
        <v>2</v>
      </c>
      <c r="E102">
        <f>VLOOKUP(F102,ColRef!$A$2:$B$258,2,FALSE)</f>
        <v>2353.8462319999999</v>
      </c>
      <c r="F102">
        <v>28</v>
      </c>
      <c r="H102" s="12" t="s">
        <v>154</v>
      </c>
      <c r="I102">
        <v>1</v>
      </c>
    </row>
    <row r="103" spans="1:9" x14ac:dyDescent="0.25">
      <c r="A103" t="s">
        <v>35</v>
      </c>
      <c r="B103" t="s">
        <v>12</v>
      </c>
      <c r="C103" t="str" cm="1">
        <f t="array" ref="C103">_xlfn.IFS(ISNUMBER(FIND("N",B103)),"Needles",ISNUMBER(FIND("P",B103)),"Phloem")</f>
        <v>Needles</v>
      </c>
      <c r="D103" cm="1">
        <f t="array" ref="D103">_xlfn.IFS(ISNUMBER(FIND("R13C",B103)),3,ISNUMBER(FIND("R22C",B103)),2)</f>
        <v>2</v>
      </c>
      <c r="E103">
        <f>VLOOKUP(F103,ColRef!$A$2:$B$258,2,FALSE)</f>
        <v>2361.4148660000001</v>
      </c>
      <c r="F103">
        <v>27</v>
      </c>
      <c r="H103" s="11">
        <v>2023.1406999999999</v>
      </c>
      <c r="I103">
        <v>1</v>
      </c>
    </row>
    <row r="104" spans="1:9" x14ac:dyDescent="0.25">
      <c r="A104" t="s">
        <v>35</v>
      </c>
      <c r="B104" t="s">
        <v>12</v>
      </c>
      <c r="C104" t="str" cm="1">
        <f t="array" ref="C104">_xlfn.IFS(ISNUMBER(FIND("N",B104)),"Needles",ISNUMBER(FIND("P",B104)),"Phloem")</f>
        <v>Needles</v>
      </c>
      <c r="D104" cm="1">
        <f t="array" ref="D104">_xlfn.IFS(ISNUMBER(FIND("R13C",B104)),3,ISNUMBER(FIND("R22C",B104)),2)</f>
        <v>2</v>
      </c>
      <c r="E104">
        <f>VLOOKUP(F104,ColRef!$A$2:$B$258,2,FALSE)</f>
        <v>1696.074188</v>
      </c>
      <c r="F104">
        <v>149</v>
      </c>
      <c r="H104" s="12" t="s">
        <v>155</v>
      </c>
      <c r="I104">
        <v>1</v>
      </c>
    </row>
    <row r="105" spans="1:9" x14ac:dyDescent="0.25">
      <c r="A105" t="s">
        <v>35</v>
      </c>
      <c r="B105" t="s">
        <v>12</v>
      </c>
      <c r="C105" t="str" cm="1">
        <f t="array" ref="C105">_xlfn.IFS(ISNUMBER(FIND("N",B105)),"Needles",ISNUMBER(FIND("P",B105)),"Phloem")</f>
        <v>Needles</v>
      </c>
      <c r="D105" cm="1">
        <f t="array" ref="D105">_xlfn.IFS(ISNUMBER(FIND("R13C",B105)),3,ISNUMBER(FIND("R22C",B105)),2)</f>
        <v>2</v>
      </c>
      <c r="E105">
        <f>VLOOKUP(F105,ColRef!$A$2:$B$258,2,FALSE)</f>
        <v>2001.09013</v>
      </c>
      <c r="F105">
        <v>83</v>
      </c>
      <c r="H105" s="11">
        <v>2431.7881219999999</v>
      </c>
      <c r="I105">
        <v>1</v>
      </c>
    </row>
    <row r="106" spans="1:9" x14ac:dyDescent="0.25">
      <c r="A106" t="s">
        <v>37</v>
      </c>
      <c r="B106" t="s">
        <v>8</v>
      </c>
      <c r="C106" t="str" cm="1">
        <f t="array" ref="C106">_xlfn.IFS(ISNUMBER(FIND("N",B106)),"Needles",ISNUMBER(FIND("P",B106)),"Phloem")</f>
        <v>Needles</v>
      </c>
      <c r="D106">
        <v>2</v>
      </c>
      <c r="E106">
        <v>2153.665849</v>
      </c>
      <c r="F106">
        <v>57</v>
      </c>
      <c r="H106" s="12" t="s">
        <v>155</v>
      </c>
      <c r="I106">
        <v>1</v>
      </c>
    </row>
    <row r="107" spans="1:9" x14ac:dyDescent="0.25">
      <c r="A107" t="s">
        <v>37</v>
      </c>
      <c r="B107" t="s">
        <v>8</v>
      </c>
      <c r="C107" t="str" cm="1">
        <f t="array" ref="C107">_xlfn.IFS(ISNUMBER(FIND("N",B107)),"Needles",ISNUMBER(FIND("P",B107)),"Phloem")</f>
        <v>Needles</v>
      </c>
      <c r="D107">
        <v>2</v>
      </c>
      <c r="E107">
        <v>1511.1114219999999</v>
      </c>
      <c r="F107">
        <v>202</v>
      </c>
      <c r="H107" s="11">
        <v>1642.9533140000001</v>
      </c>
      <c r="I107">
        <v>1</v>
      </c>
    </row>
    <row r="108" spans="1:9" x14ac:dyDescent="0.25">
      <c r="A108" t="s">
        <v>37</v>
      </c>
      <c r="B108" t="s">
        <v>8</v>
      </c>
      <c r="C108" t="str" cm="1">
        <f t="array" ref="C108">_xlfn.IFS(ISNUMBER(FIND("N",B108)),"Needles",ISNUMBER(FIND("P",B108)),"Phloem")</f>
        <v>Needles</v>
      </c>
      <c r="D108">
        <v>2</v>
      </c>
      <c r="E108">
        <v>2400.0000570000002</v>
      </c>
      <c r="F108">
        <v>22</v>
      </c>
      <c r="H108" s="12" t="s">
        <v>155</v>
      </c>
      <c r="I108">
        <v>1</v>
      </c>
    </row>
    <row r="109" spans="1:9" x14ac:dyDescent="0.25">
      <c r="A109" t="s">
        <v>37</v>
      </c>
      <c r="B109" t="s">
        <v>8</v>
      </c>
      <c r="C109" t="str" cm="1">
        <f t="array" ref="C109">_xlfn.IFS(ISNUMBER(FIND("N",B109)),"Needles",ISNUMBER(FIND("P",B109)),"Phloem")</f>
        <v>Needles</v>
      </c>
      <c r="D109">
        <v>2</v>
      </c>
      <c r="E109">
        <v>2160.0001579999998</v>
      </c>
      <c r="F109">
        <v>56</v>
      </c>
      <c r="H109" s="11">
        <v>2179.2286370000002</v>
      </c>
      <c r="I109">
        <v>1</v>
      </c>
    </row>
    <row r="110" spans="1:9" x14ac:dyDescent="0.25">
      <c r="A110" t="s">
        <v>37</v>
      </c>
      <c r="B110" t="s">
        <v>8</v>
      </c>
      <c r="C110" t="str" cm="1">
        <f t="array" ref="C110">_xlfn.IFS(ISNUMBER(FIND("N",B110)),"Needles",ISNUMBER(FIND("P",B110)),"Phloem")</f>
        <v>Needles</v>
      </c>
      <c r="D110">
        <v>2</v>
      </c>
      <c r="E110">
        <v>2407.8689060000002</v>
      </c>
      <c r="F110">
        <v>21</v>
      </c>
      <c r="H110" s="12" t="s">
        <v>155</v>
      </c>
      <c r="I110">
        <v>1</v>
      </c>
    </row>
    <row r="111" spans="1:9" x14ac:dyDescent="0.25">
      <c r="A111" t="s">
        <v>37</v>
      </c>
      <c r="B111" t="s">
        <v>8</v>
      </c>
      <c r="C111" t="str" cm="1">
        <f t="array" ref="C111">_xlfn.IFS(ISNUMBER(FIND("N",B111)),"Needles",ISNUMBER(FIND("P",B111)),"Phloem")</f>
        <v>Needles</v>
      </c>
      <c r="D111">
        <v>2</v>
      </c>
      <c r="E111">
        <v>1471.743802</v>
      </c>
      <c r="F111">
        <v>215</v>
      </c>
      <c r="H111" s="11">
        <v>2034.3492309999999</v>
      </c>
      <c r="I111">
        <v>1</v>
      </c>
    </row>
    <row r="112" spans="1:9" x14ac:dyDescent="0.25">
      <c r="A112" t="s">
        <v>37</v>
      </c>
      <c r="B112" t="s">
        <v>8</v>
      </c>
      <c r="C112" t="str" cm="1">
        <f t="array" ref="C112">_xlfn.IFS(ISNUMBER(FIND("N",B112)),"Needles",ISNUMBER(FIND("P",B112)),"Phloem")</f>
        <v>Needles</v>
      </c>
      <c r="D112">
        <v>2</v>
      </c>
      <c r="E112">
        <v>2456.1873209999999</v>
      </c>
      <c r="F112">
        <v>15</v>
      </c>
      <c r="H112" s="12" t="s">
        <v>154</v>
      </c>
      <c r="I112">
        <v>1</v>
      </c>
    </row>
    <row r="113" spans="1:9" x14ac:dyDescent="0.25">
      <c r="A113" t="s">
        <v>37</v>
      </c>
      <c r="B113" t="s">
        <v>8</v>
      </c>
      <c r="C113" t="str" cm="1">
        <f t="array" ref="C113">_xlfn.IFS(ISNUMBER(FIND("N",B113)),"Needles",ISNUMBER(FIND("P",B113)),"Phloem")</f>
        <v>Needles</v>
      </c>
      <c r="D113">
        <v>2</v>
      </c>
      <c r="E113">
        <v>1533.194463</v>
      </c>
      <c r="F113">
        <v>195</v>
      </c>
      <c r="H113" s="11">
        <v>2192.2389520000002</v>
      </c>
      <c r="I113">
        <v>1</v>
      </c>
    </row>
    <row r="114" spans="1:9" x14ac:dyDescent="0.25">
      <c r="A114" t="s">
        <v>37</v>
      </c>
      <c r="B114" t="s">
        <v>8</v>
      </c>
      <c r="C114" t="str" cm="1">
        <f t="array" ref="C114">_xlfn.IFS(ISNUMBER(FIND("N",B114)),"Needles",ISNUMBER(FIND("P",B114)),"Phloem")</f>
        <v>Needles</v>
      </c>
      <c r="D114">
        <v>2</v>
      </c>
      <c r="E114">
        <v>2141.1080360000001</v>
      </c>
      <c r="F114">
        <v>59</v>
      </c>
      <c r="H114" s="12" t="s">
        <v>155</v>
      </c>
      <c r="I114">
        <v>1</v>
      </c>
    </row>
    <row r="115" spans="1:9" x14ac:dyDescent="0.25">
      <c r="A115" t="s">
        <v>37</v>
      </c>
      <c r="B115" t="s">
        <v>8</v>
      </c>
      <c r="C115" t="str" cm="1">
        <f t="array" ref="C115">_xlfn.IFS(ISNUMBER(FIND("N",B115)),"Needles",ISNUMBER(FIND("P",B115)),"Phloem")</f>
        <v>Needles</v>
      </c>
      <c r="D115">
        <v>2</v>
      </c>
      <c r="E115">
        <v>1669.091199</v>
      </c>
      <c r="F115">
        <v>156</v>
      </c>
      <c r="H115" s="11">
        <v>1632.0002959999999</v>
      </c>
      <c r="I115">
        <v>1</v>
      </c>
    </row>
    <row r="116" spans="1:9" x14ac:dyDescent="0.25">
      <c r="A116" t="s">
        <v>37</v>
      </c>
      <c r="B116" t="s">
        <v>8</v>
      </c>
      <c r="C116" t="str" cm="1">
        <f t="array" ref="C116">_xlfn.IFS(ISNUMBER(FIND("N",B116)),"Needles",ISNUMBER(FIND("P",B116)),"Phloem")</f>
        <v>Needles</v>
      </c>
      <c r="D116">
        <v>2</v>
      </c>
      <c r="E116">
        <v>1495.7233269999999</v>
      </c>
      <c r="F116">
        <v>207</v>
      </c>
      <c r="H116" s="12" t="s">
        <v>154</v>
      </c>
      <c r="I116">
        <v>1</v>
      </c>
    </row>
    <row r="117" spans="1:9" x14ac:dyDescent="0.25">
      <c r="A117" t="s">
        <v>37</v>
      </c>
      <c r="B117" t="s">
        <v>8</v>
      </c>
      <c r="C117" t="str" cm="1">
        <f t="array" ref="C117">_xlfn.IFS(ISNUMBER(FIND("N",B117)),"Needles",ISNUMBER(FIND("P",B117)),"Phloem")</f>
        <v>Needles</v>
      </c>
      <c r="D117">
        <v>2</v>
      </c>
      <c r="E117">
        <v>2172.7812180000001</v>
      </c>
      <c r="F117">
        <v>54</v>
      </c>
      <c r="H117" s="11">
        <v>2295.0001040000002</v>
      </c>
      <c r="I117">
        <v>1</v>
      </c>
    </row>
    <row r="118" spans="1:9" x14ac:dyDescent="0.25">
      <c r="A118" t="s">
        <v>37</v>
      </c>
      <c r="B118" t="s">
        <v>8</v>
      </c>
      <c r="C118" t="str" cm="1">
        <f t="array" ref="C118">_xlfn.IFS(ISNUMBER(FIND("N",B118)),"Needles",ISNUMBER(FIND("P",B118)),"Phloem")</f>
        <v>Needles</v>
      </c>
      <c r="D118">
        <v>2</v>
      </c>
      <c r="E118">
        <v>1661.538753</v>
      </c>
      <c r="F118">
        <v>158</v>
      </c>
      <c r="H118" s="12" t="s">
        <v>154</v>
      </c>
      <c r="I118">
        <v>1</v>
      </c>
    </row>
    <row r="119" spans="1:9" x14ac:dyDescent="0.25">
      <c r="A119" t="s">
        <v>37</v>
      </c>
      <c r="B119" t="s">
        <v>8</v>
      </c>
      <c r="C119" t="str" cm="1">
        <f t="array" ref="C119">_xlfn.IFS(ISNUMBER(FIND("N",B119)),"Needles",ISNUMBER(FIND("P",B119)),"Phloem")</f>
        <v>Needles</v>
      </c>
      <c r="D119">
        <v>2</v>
      </c>
      <c r="E119">
        <v>2017.5826239999999</v>
      </c>
      <c r="F119">
        <v>80</v>
      </c>
      <c r="H119" s="11">
        <v>1635.635039</v>
      </c>
      <c r="I119">
        <v>1</v>
      </c>
    </row>
    <row r="120" spans="1:9" x14ac:dyDescent="0.25">
      <c r="A120" t="s">
        <v>37</v>
      </c>
      <c r="B120" t="s">
        <v>8</v>
      </c>
      <c r="C120" t="str" cm="1">
        <f t="array" ref="C120">_xlfn.IFS(ISNUMBER(FIND("N",B120)),"Needles",ISNUMBER(FIND("P",B120)),"Phloem")</f>
        <v>Needles</v>
      </c>
      <c r="D120">
        <v>2</v>
      </c>
      <c r="E120">
        <v>2001.09013</v>
      </c>
      <c r="F120">
        <v>83</v>
      </c>
      <c r="H120" s="12" t="s">
        <v>154</v>
      </c>
      <c r="I120">
        <v>1</v>
      </c>
    </row>
    <row r="121" spans="1:9" x14ac:dyDescent="0.25">
      <c r="A121" t="s">
        <v>37</v>
      </c>
      <c r="B121" t="s">
        <v>8</v>
      </c>
      <c r="C121" t="str" cm="1">
        <f t="array" ref="C121">_xlfn.IFS(ISNUMBER(FIND("N",B121)),"Needles",ISNUMBER(FIND("P",B121)),"Phloem")</f>
        <v>Needles</v>
      </c>
      <c r="D121">
        <v>2</v>
      </c>
      <c r="E121">
        <v>1800.000264</v>
      </c>
      <c r="F121">
        <v>124</v>
      </c>
      <c r="H121" s="11">
        <v>1813.3335950000001</v>
      </c>
      <c r="I121">
        <v>1</v>
      </c>
    </row>
    <row r="122" spans="1:9" x14ac:dyDescent="0.25">
      <c r="A122" t="s">
        <v>37</v>
      </c>
      <c r="B122" t="s">
        <v>8</v>
      </c>
      <c r="C122" t="str" cm="1">
        <f t="array" ref="C122">_xlfn.IFS(ISNUMBER(FIND("N",B122)),"Needles",ISNUMBER(FIND("P",B122)),"Phloem")</f>
        <v>Needles</v>
      </c>
      <c r="D122">
        <v>2</v>
      </c>
      <c r="E122">
        <v>1912.500237</v>
      </c>
      <c r="F122">
        <v>100</v>
      </c>
      <c r="H122" s="12" t="s">
        <v>155</v>
      </c>
      <c r="I122">
        <v>1</v>
      </c>
    </row>
    <row r="123" spans="1:9" x14ac:dyDescent="0.25">
      <c r="A123" t="s">
        <v>37</v>
      </c>
      <c r="B123" t="s">
        <v>8</v>
      </c>
      <c r="C123" t="str" cm="1">
        <f t="array" ref="C123">_xlfn.IFS(ISNUMBER(FIND("N",B123)),"Needles",ISNUMBER(FIND("P",B123)),"Phloem")</f>
        <v>Needles</v>
      </c>
      <c r="D123">
        <v>2</v>
      </c>
      <c r="E123">
        <v>1468.800315</v>
      </c>
      <c r="F123">
        <v>216</v>
      </c>
      <c r="H123" s="11">
        <v>1700.000284</v>
      </c>
      <c r="I123">
        <v>1</v>
      </c>
    </row>
    <row r="124" spans="1:9" x14ac:dyDescent="0.25">
      <c r="A124" t="s">
        <v>37</v>
      </c>
      <c r="B124" t="s">
        <v>8</v>
      </c>
      <c r="C124" t="str" cm="1">
        <f t="array" ref="C124">_xlfn.IFS(ISNUMBER(FIND("N",B124)),"Needles",ISNUMBER(FIND("P",B124)),"Phloem")</f>
        <v>Needles</v>
      </c>
      <c r="D124">
        <v>2</v>
      </c>
      <c r="E124">
        <v>2166.3718370000001</v>
      </c>
      <c r="F124">
        <v>55</v>
      </c>
      <c r="H124" s="12" t="s">
        <v>154</v>
      </c>
      <c r="I124">
        <v>1</v>
      </c>
    </row>
    <row r="125" spans="1:9" x14ac:dyDescent="0.25">
      <c r="A125" t="s">
        <v>37</v>
      </c>
      <c r="B125" t="s">
        <v>8</v>
      </c>
      <c r="C125" t="str" cm="1">
        <f t="array" ref="C125">_xlfn.IFS(ISNUMBER(FIND("N",B125)),"Needles",ISNUMBER(FIND("P",B125)),"Phloem")</f>
        <v>Needles</v>
      </c>
      <c r="D125">
        <v>2</v>
      </c>
      <c r="E125">
        <v>2295.0001040000002</v>
      </c>
      <c r="F125">
        <v>36</v>
      </c>
      <c r="H125" s="11">
        <v>1822.3327650000001</v>
      </c>
      <c r="I125">
        <v>1</v>
      </c>
    </row>
    <row r="126" spans="1:9" x14ac:dyDescent="0.25">
      <c r="A126" t="s">
        <v>37</v>
      </c>
      <c r="B126" t="s">
        <v>12</v>
      </c>
      <c r="C126" t="str" cm="1">
        <f t="array" ref="C126">_xlfn.IFS(ISNUMBER(FIND("N",B126)),"Needles",ISNUMBER(FIND("P",B126)),"Phloem")</f>
        <v>Needles</v>
      </c>
      <c r="D126">
        <v>2</v>
      </c>
      <c r="E126">
        <v>1696.074188</v>
      </c>
      <c r="F126">
        <v>149</v>
      </c>
      <c r="H126" s="12" t="s">
        <v>155</v>
      </c>
      <c r="I126">
        <v>1</v>
      </c>
    </row>
    <row r="127" spans="1:9" x14ac:dyDescent="0.25">
      <c r="A127" t="s">
        <v>37</v>
      </c>
      <c r="B127" t="s">
        <v>12</v>
      </c>
      <c r="C127" t="str" cm="1">
        <f t="array" ref="C127">_xlfn.IFS(ISNUMBER(FIND("N",B127)),"Needles",ISNUMBER(FIND("P",B127)),"Phloem")</f>
        <v>Needles</v>
      </c>
      <c r="D127">
        <v>2</v>
      </c>
      <c r="E127">
        <v>2361.4148660000001</v>
      </c>
      <c r="F127">
        <v>27</v>
      </c>
      <c r="H127" s="11">
        <v>1428.794093</v>
      </c>
      <c r="I127">
        <v>1</v>
      </c>
    </row>
    <row r="128" spans="1:9" x14ac:dyDescent="0.25">
      <c r="A128" t="s">
        <v>37</v>
      </c>
      <c r="B128" t="s">
        <v>12</v>
      </c>
      <c r="C128" t="str" cm="1">
        <f t="array" ref="C128">_xlfn.IFS(ISNUMBER(FIND("N",B128)),"Needles",ISNUMBER(FIND("P",B128)),"Phloem")</f>
        <v>Needles</v>
      </c>
      <c r="D128">
        <v>2</v>
      </c>
      <c r="E128">
        <v>2001.09013</v>
      </c>
      <c r="F128">
        <v>83</v>
      </c>
      <c r="H128" s="12" t="s">
        <v>155</v>
      </c>
      <c r="I128">
        <v>1</v>
      </c>
    </row>
    <row r="129" spans="1:9" x14ac:dyDescent="0.25">
      <c r="A129" t="s">
        <v>37</v>
      </c>
      <c r="B129" t="s">
        <v>12</v>
      </c>
      <c r="C129" t="str" cm="1">
        <f t="array" ref="C129">_xlfn.IFS(ISNUMBER(FIND("N",B129)),"Needles",ISNUMBER(FIND("P",B129)),"Phloem")</f>
        <v>Needles</v>
      </c>
      <c r="D129">
        <v>2</v>
      </c>
      <c r="E129">
        <v>1692.1661839999999</v>
      </c>
      <c r="F129">
        <v>150</v>
      </c>
      <c r="H129" s="11">
        <v>2376.6990970000002</v>
      </c>
      <c r="I129">
        <v>1</v>
      </c>
    </row>
    <row r="130" spans="1:9" x14ac:dyDescent="0.25">
      <c r="A130" t="s">
        <v>37</v>
      </c>
      <c r="B130" t="s">
        <v>12</v>
      </c>
      <c r="C130" t="str" cm="1">
        <f t="array" ref="C130">_xlfn.IFS(ISNUMBER(FIND("N",B130)),"Needles",ISNUMBER(FIND("P",B130)),"Phloem")</f>
        <v>Needles</v>
      </c>
      <c r="D130">
        <v>2</v>
      </c>
      <c r="E130">
        <v>2353.8462319999999</v>
      </c>
      <c r="F130">
        <v>28</v>
      </c>
      <c r="H130" s="12" t="s">
        <v>155</v>
      </c>
      <c r="I130">
        <v>1</v>
      </c>
    </row>
    <row r="131" spans="1:9" x14ac:dyDescent="0.25">
      <c r="A131" t="s">
        <v>37</v>
      </c>
      <c r="B131" t="s">
        <v>12</v>
      </c>
      <c r="C131" t="str" cm="1">
        <f t="array" ref="C131">_xlfn.IFS(ISNUMBER(FIND("N",B131)),"Needles",ISNUMBER(FIND("P",B131)),"Phloem")</f>
        <v>Needles</v>
      </c>
      <c r="D131">
        <v>2</v>
      </c>
      <c r="E131">
        <v>1963.6365860000001</v>
      </c>
      <c r="F131">
        <v>90</v>
      </c>
      <c r="H131" s="11">
        <v>1719.906604</v>
      </c>
      <c r="I131">
        <v>1</v>
      </c>
    </row>
    <row r="132" spans="1:9" x14ac:dyDescent="0.25">
      <c r="A132" t="s">
        <v>37</v>
      </c>
      <c r="B132" t="s">
        <v>12</v>
      </c>
      <c r="C132" t="str" cm="1">
        <f t="array" ref="C132">_xlfn.IFS(ISNUMBER(FIND("N",B132)),"Needles",ISNUMBER(FIND("P",B132)),"Phloem")</f>
        <v>Needles</v>
      </c>
      <c r="D132">
        <v>2</v>
      </c>
      <c r="E132">
        <v>2369.03233</v>
      </c>
      <c r="F132">
        <v>26</v>
      </c>
      <c r="H132" s="12" t="s">
        <v>155</v>
      </c>
      <c r="I132">
        <v>1</v>
      </c>
    </row>
    <row r="133" spans="1:9" x14ac:dyDescent="0.25">
      <c r="A133" t="s">
        <v>37</v>
      </c>
      <c r="B133" t="s">
        <v>12</v>
      </c>
      <c r="C133" t="str" cm="1">
        <f t="array" ref="C133">_xlfn.IFS(ISNUMBER(FIND("N",B133)),"Needles",ISNUMBER(FIND("P",B133)),"Phloem")</f>
        <v>Needles</v>
      </c>
      <c r="D133">
        <v>2</v>
      </c>
      <c r="E133">
        <v>1409.5972489999999</v>
      </c>
      <c r="F133">
        <v>237</v>
      </c>
      <c r="H133" s="11">
        <v>2392.1824710000001</v>
      </c>
      <c r="I133">
        <v>1</v>
      </c>
    </row>
    <row r="134" spans="1:9" x14ac:dyDescent="0.25">
      <c r="A134" t="s">
        <v>37</v>
      </c>
      <c r="B134" t="s">
        <v>12</v>
      </c>
      <c r="C134" t="str" cm="1">
        <f t="array" ref="C134">_xlfn.IFS(ISNUMBER(FIND("N",B134)),"Needles",ISNUMBER(FIND("P",B134)),"Phloem")</f>
        <v>Needles</v>
      </c>
      <c r="D134">
        <v>2</v>
      </c>
      <c r="E134">
        <v>1700.000284</v>
      </c>
      <c r="F134">
        <v>148</v>
      </c>
      <c r="H134" s="12" t="s">
        <v>154</v>
      </c>
      <c r="I134">
        <v>1</v>
      </c>
    </row>
    <row r="135" spans="1:9" x14ac:dyDescent="0.25">
      <c r="A135" t="s">
        <v>37</v>
      </c>
      <c r="B135" t="s">
        <v>12</v>
      </c>
      <c r="C135" t="str" cm="1">
        <f t="array" ref="C135">_xlfn.IFS(ISNUMBER(FIND("N",B135)),"Needles",ISNUMBER(FIND("P",B135)),"Phloem")</f>
        <v>Needles</v>
      </c>
      <c r="D135">
        <v>2</v>
      </c>
      <c r="E135">
        <v>2006.557587</v>
      </c>
      <c r="F135">
        <v>82</v>
      </c>
      <c r="H135" s="11">
        <v>1465.868579</v>
      </c>
      <c r="I135">
        <v>1</v>
      </c>
    </row>
    <row r="136" spans="1:9" x14ac:dyDescent="0.25">
      <c r="A136" t="s">
        <v>37</v>
      </c>
      <c r="B136" t="s">
        <v>12</v>
      </c>
      <c r="C136" t="str" cm="1">
        <f t="array" ref="C136">_xlfn.IFS(ISNUMBER(FIND("N",B136)),"Needles",ISNUMBER(FIND("P",B136)),"Phloem")</f>
        <v>Needles</v>
      </c>
      <c r="D136">
        <v>2</v>
      </c>
      <c r="E136">
        <v>1958.400224</v>
      </c>
      <c r="F136">
        <v>91</v>
      </c>
      <c r="H136" s="12" t="s">
        <v>155</v>
      </c>
      <c r="I136">
        <v>1</v>
      </c>
    </row>
    <row r="137" spans="1:9" x14ac:dyDescent="0.25">
      <c r="A137" t="s">
        <v>37</v>
      </c>
      <c r="B137" t="s">
        <v>12</v>
      </c>
      <c r="C137" t="str" cm="1">
        <f t="array" ref="C137">_xlfn.IFS(ISNUMBER(FIND("N",B137)),"Needles",ISNUMBER(FIND("P",B137)),"Phloem")</f>
        <v>Needles</v>
      </c>
      <c r="D137">
        <v>2</v>
      </c>
      <c r="E137">
        <v>2346.3259600000001</v>
      </c>
      <c r="F137">
        <v>29</v>
      </c>
      <c r="H137" s="11">
        <v>1533.194463</v>
      </c>
      <c r="I137">
        <v>1</v>
      </c>
    </row>
    <row r="138" spans="1:9" x14ac:dyDescent="0.25">
      <c r="A138" t="s">
        <v>37</v>
      </c>
      <c r="B138" t="s">
        <v>12</v>
      </c>
      <c r="C138" t="str" cm="1">
        <f t="array" ref="C138">_xlfn.IFS(ISNUMBER(FIND("N",B138)),"Needles",ISNUMBER(FIND("P",B138)),"Phloem")</f>
        <v>Needles</v>
      </c>
      <c r="D138">
        <v>2</v>
      </c>
      <c r="E138">
        <v>1669.091199</v>
      </c>
      <c r="F138">
        <v>156</v>
      </c>
      <c r="H138" s="12" t="s">
        <v>154</v>
      </c>
      <c r="I138">
        <v>1</v>
      </c>
    </row>
    <row r="139" spans="1:9" x14ac:dyDescent="0.25">
      <c r="A139" t="s">
        <v>37</v>
      </c>
      <c r="B139" t="s">
        <v>12</v>
      </c>
      <c r="C139" t="str" cm="1">
        <f t="array" ref="C139">_xlfn.IFS(ISNUMBER(FIND("N",B139)),"Needles",ISNUMBER(FIND("P",B139)),"Phloem")</f>
        <v>Needles</v>
      </c>
      <c r="D139">
        <v>2</v>
      </c>
      <c r="E139">
        <v>1635.635039</v>
      </c>
      <c r="F139">
        <v>165</v>
      </c>
      <c r="H139" s="11">
        <v>1800.000264</v>
      </c>
      <c r="I139">
        <v>1</v>
      </c>
    </row>
    <row r="140" spans="1:9" x14ac:dyDescent="0.25">
      <c r="A140" t="s">
        <v>37</v>
      </c>
      <c r="B140" t="s">
        <v>12</v>
      </c>
      <c r="C140" t="str" cm="1">
        <f t="array" ref="C140">_xlfn.IFS(ISNUMBER(FIND("N",B140)),"Needles",ISNUMBER(FIND("P",B140)),"Phloem")</f>
        <v>Needles</v>
      </c>
      <c r="D140">
        <v>2</v>
      </c>
      <c r="E140">
        <v>1953.1917149999999</v>
      </c>
      <c r="F140">
        <v>92</v>
      </c>
      <c r="H140" s="12" t="s">
        <v>154</v>
      </c>
      <c r="I140">
        <v>1</v>
      </c>
    </row>
    <row r="141" spans="1:9" x14ac:dyDescent="0.25">
      <c r="A141" t="s">
        <v>37</v>
      </c>
      <c r="B141" t="s">
        <v>12</v>
      </c>
      <c r="C141" t="str" cm="1">
        <f t="array" ref="C141">_xlfn.IFS(ISNUMBER(FIND("N",B141)),"Needles",ISNUMBER(FIND("P",B141)),"Phloem")</f>
        <v>Needles</v>
      </c>
      <c r="D141">
        <v>2</v>
      </c>
      <c r="E141">
        <v>1632.0002959999999</v>
      </c>
      <c r="F141">
        <v>166</v>
      </c>
      <c r="H141" s="11">
        <v>2423.7624219999998</v>
      </c>
      <c r="I141">
        <v>1</v>
      </c>
    </row>
    <row r="142" spans="1:9" x14ac:dyDescent="0.25">
      <c r="A142" t="s">
        <v>37</v>
      </c>
      <c r="B142" t="s">
        <v>12</v>
      </c>
      <c r="C142" t="str" cm="1">
        <f t="array" ref="C142">_xlfn.IFS(ISNUMBER(FIND("N",B142)),"Needles",ISNUMBER(FIND("P",B142)),"Phloem")</f>
        <v>Needles</v>
      </c>
      <c r="D142">
        <v>2</v>
      </c>
      <c r="E142">
        <v>1468.800315</v>
      </c>
      <c r="F142">
        <v>216</v>
      </c>
      <c r="H142" s="12" t="s">
        <v>155</v>
      </c>
      <c r="I142">
        <v>1</v>
      </c>
    </row>
    <row r="143" spans="1:9" x14ac:dyDescent="0.25">
      <c r="A143" t="s">
        <v>37</v>
      </c>
      <c r="B143" t="s">
        <v>12</v>
      </c>
      <c r="C143" t="str" cm="1">
        <f t="array" ref="C143">_xlfn.IFS(ISNUMBER(FIND("N",B143)),"Needles",ISNUMBER(FIND("P",B143)),"Phloem")</f>
        <v>Needles</v>
      </c>
      <c r="D143">
        <v>2</v>
      </c>
      <c r="E143">
        <v>1995.6523870000001</v>
      </c>
      <c r="F143">
        <v>84</v>
      </c>
      <c r="H143" s="11">
        <v>1412.308012</v>
      </c>
      <c r="I143">
        <v>1</v>
      </c>
    </row>
    <row r="144" spans="1:9" x14ac:dyDescent="0.25">
      <c r="A144" t="s">
        <v>37</v>
      </c>
      <c r="B144" t="s">
        <v>12</v>
      </c>
      <c r="C144" t="str" cm="1">
        <f t="array" ref="C144">_xlfn.IFS(ISNUMBER(FIND("N",B144)),"Needles",ISNUMBER(FIND("P",B144)),"Phloem")</f>
        <v>Needles</v>
      </c>
      <c r="D144">
        <v>2</v>
      </c>
      <c r="E144">
        <v>1471.743802</v>
      </c>
      <c r="F144">
        <v>215</v>
      </c>
      <c r="H144" s="12" t="s">
        <v>154</v>
      </c>
      <c r="I144">
        <v>1</v>
      </c>
    </row>
    <row r="145" spans="1:9" x14ac:dyDescent="0.25">
      <c r="A145" t="s">
        <v>37</v>
      </c>
      <c r="B145" t="s">
        <v>12</v>
      </c>
      <c r="C145" t="str" cm="1">
        <f t="array" ref="C145">_xlfn.IFS(ISNUMBER(FIND("N",B145)),"Needles",ISNUMBER(FIND("P",B145)),"Phloem")</f>
        <v>Needles</v>
      </c>
      <c r="D145">
        <v>2</v>
      </c>
      <c r="E145">
        <v>1412.308012</v>
      </c>
      <c r="F145">
        <v>236</v>
      </c>
      <c r="H145" s="11">
        <v>2448.0000340000001</v>
      </c>
      <c r="I145">
        <v>1</v>
      </c>
    </row>
    <row r="146" spans="1:9" x14ac:dyDescent="0.25">
      <c r="H146" s="12" t="s">
        <v>155</v>
      </c>
      <c r="I146">
        <v>1</v>
      </c>
    </row>
    <row r="147" spans="1:9" x14ac:dyDescent="0.25">
      <c r="H147" s="11">
        <v>1495.7233269999999</v>
      </c>
      <c r="I147">
        <v>1</v>
      </c>
    </row>
    <row r="148" spans="1:9" x14ac:dyDescent="0.25">
      <c r="H148" s="12" t="s">
        <v>154</v>
      </c>
      <c r="I148">
        <v>1</v>
      </c>
    </row>
    <row r="149" spans="1:9" x14ac:dyDescent="0.25">
      <c r="H149" s="11">
        <v>1958.400224</v>
      </c>
      <c r="I149">
        <v>1</v>
      </c>
    </row>
    <row r="150" spans="1:9" x14ac:dyDescent="0.25">
      <c r="H150" s="12" t="s">
        <v>154</v>
      </c>
      <c r="I150">
        <v>1</v>
      </c>
    </row>
    <row r="151" spans="1:9" x14ac:dyDescent="0.25">
      <c r="H151" s="11">
        <v>1808.8672570000001</v>
      </c>
      <c r="I151">
        <v>1</v>
      </c>
    </row>
    <row r="152" spans="1:9" x14ac:dyDescent="0.25">
      <c r="H152" s="12" t="s">
        <v>155</v>
      </c>
      <c r="I152">
        <v>1</v>
      </c>
    </row>
    <row r="153" spans="1:9" x14ac:dyDescent="0.25">
      <c r="H153" s="11" t="s">
        <v>16</v>
      </c>
      <c r="I153">
        <v>144</v>
      </c>
    </row>
  </sheetData>
  <sortState xmlns:xlrd2="http://schemas.microsoft.com/office/spreadsheetml/2017/richdata2" ref="A2:F224">
    <sortCondition descending="1" ref="C1:C22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B509-6296-42FD-B3BF-609465504024}">
  <dimension ref="A1:J68"/>
  <sheetViews>
    <sheetView topLeftCell="A10" workbookViewId="0">
      <selection activeCell="F45" sqref="F45"/>
    </sheetView>
  </sheetViews>
  <sheetFormatPr defaultRowHeight="15" x14ac:dyDescent="0.25"/>
  <cols>
    <col min="1" max="1" width="26.7109375" customWidth="1"/>
    <col min="2" max="2" width="19.42578125" customWidth="1"/>
    <col min="3" max="3" width="17.28515625" customWidth="1"/>
    <col min="5" max="5" width="26.28515625" customWidth="1"/>
    <col min="6" max="6" width="20.140625" customWidth="1"/>
    <col min="8" max="8" width="16.42578125" bestFit="1" customWidth="1"/>
    <col min="9" max="9" width="9.140625" bestFit="1" customWidth="1"/>
    <col min="10" max="10" width="44.85546875" customWidth="1"/>
  </cols>
  <sheetData>
    <row r="1" spans="1:10" x14ac:dyDescent="0.25">
      <c r="A1" t="s">
        <v>147</v>
      </c>
      <c r="B1" t="s">
        <v>2</v>
      </c>
      <c r="C1" t="s">
        <v>153</v>
      </c>
      <c r="D1" t="s">
        <v>146</v>
      </c>
      <c r="E1" t="s">
        <v>0</v>
      </c>
      <c r="F1" t="s">
        <v>20</v>
      </c>
      <c r="H1" s="10" t="s">
        <v>7</v>
      </c>
      <c r="I1" t="s">
        <v>33</v>
      </c>
      <c r="J1" t="s">
        <v>170</v>
      </c>
    </row>
    <row r="2" spans="1:10" x14ac:dyDescent="0.25">
      <c r="A2" t="s">
        <v>36</v>
      </c>
      <c r="B2" t="s">
        <v>10</v>
      </c>
      <c r="C2" t="str" cm="1">
        <f t="array" ref="C2">_xlfn.IFS(ISNUMBER(FIND("N",B2)),"Needles",ISNUMBER(FIND("P",B2)),"Phloem")</f>
        <v>Phloem</v>
      </c>
      <c r="D2">
        <v>2</v>
      </c>
      <c r="E2">
        <v>2134.8838879999998</v>
      </c>
      <c r="F2">
        <v>60</v>
      </c>
      <c r="H2" s="11">
        <v>2141.1080360000001</v>
      </c>
      <c r="I2">
        <v>4</v>
      </c>
      <c r="J2" t="s">
        <v>156</v>
      </c>
    </row>
    <row r="3" spans="1:10" x14ac:dyDescent="0.25">
      <c r="A3" t="s">
        <v>36</v>
      </c>
      <c r="B3" t="s">
        <v>10</v>
      </c>
      <c r="C3" t="str" cm="1">
        <f t="array" ref="C3">_xlfn.IFS(ISNUMBER(FIND("N",B3)),"Needles",ISNUMBER(FIND("P",B3)),"Phloem")</f>
        <v>Phloem</v>
      </c>
      <c r="D3">
        <v>2</v>
      </c>
      <c r="E3">
        <v>2153.665849</v>
      </c>
      <c r="F3">
        <v>57</v>
      </c>
      <c r="H3" s="11">
        <v>2153.665849</v>
      </c>
      <c r="I3">
        <v>4</v>
      </c>
      <c r="J3" t="s">
        <v>156</v>
      </c>
    </row>
    <row r="4" spans="1:10" x14ac:dyDescent="0.25">
      <c r="A4" t="s">
        <v>36</v>
      </c>
      <c r="B4" t="s">
        <v>10</v>
      </c>
      <c r="C4" t="str" cm="1">
        <f t="array" ref="C4">_xlfn.IFS(ISNUMBER(FIND("N",B4)),"Needles",ISNUMBER(FIND("P",B4)),"Phloem")</f>
        <v>Phloem</v>
      </c>
      <c r="D4">
        <v>2</v>
      </c>
      <c r="E4">
        <v>2128.6958209999998</v>
      </c>
      <c r="F4">
        <v>61</v>
      </c>
      <c r="H4" s="11">
        <v>2160.0001579999998</v>
      </c>
      <c r="I4">
        <v>4</v>
      </c>
      <c r="J4" t="s">
        <v>156</v>
      </c>
    </row>
    <row r="5" spans="1:10" x14ac:dyDescent="0.25">
      <c r="A5" t="s">
        <v>36</v>
      </c>
      <c r="B5" t="s">
        <v>10</v>
      </c>
      <c r="C5" t="str" cm="1">
        <f t="array" ref="C5">_xlfn.IFS(ISNUMBER(FIND("N",B5)),"Needles",ISNUMBER(FIND("P",B5)),"Phloem")</f>
        <v>Phloem</v>
      </c>
      <c r="D5">
        <v>2</v>
      </c>
      <c r="E5">
        <v>2141.1080360000001</v>
      </c>
      <c r="F5">
        <v>59</v>
      </c>
      <c r="H5" s="11">
        <v>2134.8838879999998</v>
      </c>
      <c r="I5">
        <v>4</v>
      </c>
      <c r="J5" t="s">
        <v>156</v>
      </c>
    </row>
    <row r="6" spans="1:10" x14ac:dyDescent="0.25">
      <c r="A6" t="s">
        <v>36</v>
      </c>
      <c r="B6" t="s">
        <v>10</v>
      </c>
      <c r="C6" t="str" cm="1">
        <f t="array" ref="C6">_xlfn.IFS(ISNUMBER(FIND("N",B6)),"Needles",ISNUMBER(FIND("P",B6)),"Phloem")</f>
        <v>Phloem</v>
      </c>
      <c r="D6">
        <v>2</v>
      </c>
      <c r="E6">
        <v>2160.0001579999998</v>
      </c>
      <c r="F6">
        <v>56</v>
      </c>
      <c r="H6" s="11">
        <v>2166.3718370000001</v>
      </c>
      <c r="I6">
        <v>3</v>
      </c>
      <c r="J6" t="s">
        <v>156</v>
      </c>
    </row>
    <row r="7" spans="1:10" x14ac:dyDescent="0.25">
      <c r="A7" t="s">
        <v>36</v>
      </c>
      <c r="B7" t="s">
        <v>10</v>
      </c>
      <c r="C7" t="str" cm="1">
        <f t="array" ref="C7">_xlfn.IFS(ISNUMBER(FIND("N",B7)),"Needles",ISNUMBER(FIND("P",B7)),"Phloem")</f>
        <v>Phloem</v>
      </c>
      <c r="D7">
        <v>2</v>
      </c>
      <c r="E7">
        <v>2147.3685829999999</v>
      </c>
      <c r="F7">
        <v>58</v>
      </c>
      <c r="H7" s="11">
        <v>1462.948523</v>
      </c>
      <c r="I7">
        <v>3</v>
      </c>
      <c r="J7" t="s">
        <v>159</v>
      </c>
    </row>
    <row r="8" spans="1:10" x14ac:dyDescent="0.25">
      <c r="A8" t="s">
        <v>36</v>
      </c>
      <c r="B8" t="s">
        <v>10</v>
      </c>
      <c r="C8" t="str" cm="1">
        <f t="array" ref="C8">_xlfn.IFS(ISNUMBER(FIND("N",B8)),"Needles",ISNUMBER(FIND("P",B8)),"Phloem")</f>
        <v>Phloem</v>
      </c>
      <c r="D8">
        <v>2</v>
      </c>
      <c r="E8">
        <v>2122.5435240000002</v>
      </c>
      <c r="F8">
        <v>62</v>
      </c>
      <c r="H8" s="11">
        <v>2147.3685829999999</v>
      </c>
      <c r="I8">
        <v>3</v>
      </c>
      <c r="J8" t="s">
        <v>156</v>
      </c>
    </row>
    <row r="9" spans="1:10" x14ac:dyDescent="0.25">
      <c r="A9" t="s">
        <v>36</v>
      </c>
      <c r="B9" t="s">
        <v>10</v>
      </c>
      <c r="C9" t="str" cm="1">
        <f t="array" ref="C9">_xlfn.IFS(ISNUMBER(FIND("N",B9)),"Needles",ISNUMBER(FIND("P",B9)),"Phloem")</f>
        <v>Phloem</v>
      </c>
      <c r="D9">
        <v>2</v>
      </c>
      <c r="E9">
        <v>2166.3718370000001</v>
      </c>
      <c r="F9">
        <v>55</v>
      </c>
      <c r="H9" s="11">
        <v>2400.0000570000002</v>
      </c>
      <c r="I9">
        <v>3</v>
      </c>
      <c r="J9" t="s">
        <v>158</v>
      </c>
    </row>
    <row r="10" spans="1:10" x14ac:dyDescent="0.25">
      <c r="A10" t="s">
        <v>36</v>
      </c>
      <c r="B10" t="s">
        <v>10</v>
      </c>
      <c r="C10" t="str" cm="1">
        <f t="array" ref="C10">_xlfn.IFS(ISNUMBER(FIND("N",B10)),"Needles",ISNUMBER(FIND("P",B10)),"Phloem")</f>
        <v>Phloem</v>
      </c>
      <c r="D10">
        <v>2</v>
      </c>
      <c r="E10">
        <v>2407.8689060000002</v>
      </c>
      <c r="F10">
        <v>21</v>
      </c>
      <c r="H10" s="11">
        <v>2172.7812180000001</v>
      </c>
      <c r="I10">
        <v>3</v>
      </c>
      <c r="J10" t="s">
        <v>156</v>
      </c>
    </row>
    <row r="11" spans="1:10" x14ac:dyDescent="0.25">
      <c r="A11" t="s">
        <v>36</v>
      </c>
      <c r="B11" t="s">
        <v>10</v>
      </c>
      <c r="C11" t="str" cm="1">
        <f t="array" ref="C11">_xlfn.IFS(ISNUMBER(FIND("N",B11)),"Needles",ISNUMBER(FIND("P",B11)),"Phloem")</f>
        <v>Phloem</v>
      </c>
      <c r="D11">
        <v>2</v>
      </c>
      <c r="E11">
        <v>2116.4266859999998</v>
      </c>
      <c r="F11">
        <v>63</v>
      </c>
      <c r="H11" s="11">
        <v>2122.5435240000002</v>
      </c>
      <c r="I11">
        <v>3</v>
      </c>
      <c r="J11" t="s">
        <v>157</v>
      </c>
    </row>
    <row r="12" spans="1:10" x14ac:dyDescent="0.25">
      <c r="A12" t="s">
        <v>36</v>
      </c>
      <c r="B12" t="s">
        <v>10</v>
      </c>
      <c r="C12" t="str" cm="1">
        <f t="array" ref="C12">_xlfn.IFS(ISNUMBER(FIND("N",B12)),"Needles",ISNUMBER(FIND("P",B12)),"Phloem")</f>
        <v>Phloem</v>
      </c>
      <c r="D12">
        <v>2</v>
      </c>
      <c r="E12">
        <v>2415.7895229999999</v>
      </c>
      <c r="F12">
        <v>20</v>
      </c>
      <c r="H12" s="11">
        <v>2407.8689060000002</v>
      </c>
      <c r="I12">
        <v>2</v>
      </c>
      <c r="J12" t="s">
        <v>158</v>
      </c>
    </row>
    <row r="13" spans="1:10" x14ac:dyDescent="0.25">
      <c r="A13" t="s">
        <v>36</v>
      </c>
      <c r="B13" t="s">
        <v>10</v>
      </c>
      <c r="C13" t="str" cm="1">
        <f t="array" ref="C13">_xlfn.IFS(ISNUMBER(FIND("N",B13)),"Needles",ISNUMBER(FIND("P",B13)),"Phloem")</f>
        <v>Phloem</v>
      </c>
      <c r="D13">
        <v>2</v>
      </c>
      <c r="E13">
        <v>2400.0000570000002</v>
      </c>
      <c r="F13">
        <v>22</v>
      </c>
      <c r="H13" s="11">
        <v>1420.5032200000001</v>
      </c>
      <c r="I13">
        <v>2</v>
      </c>
      <c r="J13" t="s">
        <v>160</v>
      </c>
    </row>
    <row r="14" spans="1:10" x14ac:dyDescent="0.25">
      <c r="A14" t="s">
        <v>36</v>
      </c>
      <c r="B14" t="s">
        <v>10</v>
      </c>
      <c r="C14" t="str" cm="1">
        <f t="array" ref="C14">_xlfn.IFS(ISNUMBER(FIND("N",B14)),"Needles",ISNUMBER(FIND("P",B14)),"Phloem")</f>
        <v>Phloem</v>
      </c>
      <c r="D14">
        <v>2</v>
      </c>
      <c r="E14">
        <v>1420.5032200000001</v>
      </c>
      <c r="F14">
        <v>233</v>
      </c>
      <c r="H14" s="11">
        <v>2116.4266859999998</v>
      </c>
      <c r="I14">
        <v>2</v>
      </c>
      <c r="J14" t="s">
        <v>156</v>
      </c>
    </row>
    <row r="15" spans="1:10" x14ac:dyDescent="0.25">
      <c r="A15" t="s">
        <v>36</v>
      </c>
      <c r="B15" t="s">
        <v>10</v>
      </c>
      <c r="C15" t="str" cm="1">
        <f t="array" ref="C15">_xlfn.IFS(ISNUMBER(FIND("N",B15)),"Needles",ISNUMBER(FIND("P",B15)),"Phloem")</f>
        <v>Phloem</v>
      </c>
      <c r="D15">
        <v>2</v>
      </c>
      <c r="E15">
        <v>2205.405546</v>
      </c>
      <c r="F15">
        <v>49</v>
      </c>
      <c r="H15" s="11">
        <v>2415.7895229999999</v>
      </c>
      <c r="I15">
        <v>2</v>
      </c>
      <c r="J15" t="s">
        <v>158</v>
      </c>
    </row>
    <row r="16" spans="1:10" x14ac:dyDescent="0.25">
      <c r="A16" t="s">
        <v>36</v>
      </c>
      <c r="B16" t="s">
        <v>10</v>
      </c>
      <c r="C16" t="str" cm="1">
        <f t="array" ref="C16">_xlfn.IFS(ISNUMBER(FIND("N",B16)),"Needles",ISNUMBER(FIND("P",B16)),"Phloem")</f>
        <v>Phloem</v>
      </c>
      <c r="D16">
        <v>2</v>
      </c>
      <c r="E16">
        <v>2028.729484</v>
      </c>
      <c r="F16">
        <v>78</v>
      </c>
      <c r="H16" s="11">
        <v>2128.6958209999998</v>
      </c>
      <c r="I16">
        <v>2</v>
      </c>
      <c r="J16" t="s">
        <v>161</v>
      </c>
    </row>
    <row r="17" spans="1:10" x14ac:dyDescent="0.25">
      <c r="A17" t="s">
        <v>36</v>
      </c>
      <c r="B17" t="s">
        <v>10</v>
      </c>
      <c r="C17" t="str" cm="1">
        <f t="array" ref="C17">_xlfn.IFS(ISNUMBER(FIND("N",B17)),"Needles",ISNUMBER(FIND("P",B17)),"Phloem")</f>
        <v>Phloem</v>
      </c>
      <c r="D17">
        <v>2</v>
      </c>
      <c r="E17">
        <v>1462.948523</v>
      </c>
      <c r="F17">
        <v>218</v>
      </c>
      <c r="H17" s="11">
        <v>2028.729484</v>
      </c>
      <c r="I17">
        <v>2</v>
      </c>
      <c r="J17" t="s">
        <v>162</v>
      </c>
    </row>
    <row r="18" spans="1:10" x14ac:dyDescent="0.25">
      <c r="A18" t="s">
        <v>36</v>
      </c>
      <c r="B18" t="s">
        <v>10</v>
      </c>
      <c r="C18" t="str" cm="1">
        <f t="array" ref="C18">_xlfn.IFS(ISNUMBER(FIND("N",B18)),"Needles",ISNUMBER(FIND("P",B18)),"Phloem")</f>
        <v>Phloem</v>
      </c>
      <c r="D18">
        <v>2</v>
      </c>
      <c r="E18">
        <v>1719.906604</v>
      </c>
      <c r="F18">
        <v>143</v>
      </c>
      <c r="H18" s="11">
        <v>1661.538753</v>
      </c>
      <c r="I18">
        <v>1</v>
      </c>
      <c r="J18" t="s">
        <v>163</v>
      </c>
    </row>
    <row r="19" spans="1:10" x14ac:dyDescent="0.25">
      <c r="A19" t="s">
        <v>36</v>
      </c>
      <c r="B19" t="s">
        <v>14</v>
      </c>
      <c r="C19" t="str" cm="1">
        <f t="array" ref="C19">_xlfn.IFS(ISNUMBER(FIND("N",B19)),"Needles",ISNUMBER(FIND("P",B19)),"Phloem")</f>
        <v>Phloem</v>
      </c>
      <c r="D19">
        <v>2</v>
      </c>
      <c r="E19">
        <v>2172.7812180000001</v>
      </c>
      <c r="F19">
        <v>54</v>
      </c>
      <c r="H19" s="11">
        <v>1808.8672570000001</v>
      </c>
      <c r="I19">
        <v>1</v>
      </c>
      <c r="J19" t="s">
        <v>164</v>
      </c>
    </row>
    <row r="20" spans="1:10" x14ac:dyDescent="0.25">
      <c r="A20" t="s">
        <v>35</v>
      </c>
      <c r="B20" t="s">
        <v>10</v>
      </c>
      <c r="C20" t="str" cm="1">
        <f t="array" ref="C20">_xlfn.IFS(ISNUMBER(FIND("N",B20)),"Needles",ISNUMBER(FIND("P",B20)),"Phloem")</f>
        <v>Phloem</v>
      </c>
      <c r="D20" cm="1">
        <f t="array" ref="D20">_xlfn.IFS(ISNUMBER(FIND("R13C",B20)),3,ISNUMBER(FIND("R22C",B20)),2)</f>
        <v>2</v>
      </c>
      <c r="E20">
        <f>VLOOKUP(F20,ColRef!$A$2:$B$258,2,FALSE)</f>
        <v>2134.8838879999998</v>
      </c>
      <c r="F20">
        <v>60</v>
      </c>
      <c r="H20" s="11">
        <v>1428.794093</v>
      </c>
      <c r="I20">
        <v>1</v>
      </c>
      <c r="J20" t="s">
        <v>165</v>
      </c>
    </row>
    <row r="21" spans="1:10" x14ac:dyDescent="0.25">
      <c r="A21" t="s">
        <v>35</v>
      </c>
      <c r="B21" t="s">
        <v>10</v>
      </c>
      <c r="C21" t="str" cm="1">
        <f t="array" ref="C21">_xlfn.IFS(ISNUMBER(FIND("N",B21)),"Needles",ISNUMBER(FIND("P",B21)),"Phloem")</f>
        <v>Phloem</v>
      </c>
      <c r="D21" cm="1">
        <f t="array" ref="D21">_xlfn.IFS(ISNUMBER(FIND("R13C",B21)),3,ISNUMBER(FIND("R22C",B21)),2)</f>
        <v>2</v>
      </c>
      <c r="E21">
        <f>VLOOKUP(F21,ColRef!$A$2:$B$258,2,FALSE)</f>
        <v>2153.665849</v>
      </c>
      <c r="F21">
        <v>57</v>
      </c>
      <c r="H21" s="11">
        <v>2179.2286370000002</v>
      </c>
      <c r="I21">
        <v>1</v>
      </c>
      <c r="J21" t="s">
        <v>156</v>
      </c>
    </row>
    <row r="22" spans="1:10" x14ac:dyDescent="0.25">
      <c r="A22" t="s">
        <v>35</v>
      </c>
      <c r="B22" t="s">
        <v>10</v>
      </c>
      <c r="C22" t="str" cm="1">
        <f t="array" ref="C22">_xlfn.IFS(ISNUMBER(FIND("N",B22)),"Needles",ISNUMBER(FIND("P",B22)),"Phloem")</f>
        <v>Phloem</v>
      </c>
      <c r="D22" cm="1">
        <f t="array" ref="D22">_xlfn.IFS(ISNUMBER(FIND("R13C",B22)),3,ISNUMBER(FIND("R22C",B22)),2)</f>
        <v>2</v>
      </c>
      <c r="E22">
        <f>VLOOKUP(F22,ColRef!$A$2:$B$258,2,FALSE)</f>
        <v>2141.1080360000001</v>
      </c>
      <c r="F22">
        <v>59</v>
      </c>
      <c r="H22" s="11">
        <v>1672.8932279999999</v>
      </c>
      <c r="I22">
        <v>1</v>
      </c>
      <c r="J22" t="s">
        <v>163</v>
      </c>
    </row>
    <row r="23" spans="1:10" x14ac:dyDescent="0.25">
      <c r="A23" t="s">
        <v>35</v>
      </c>
      <c r="B23" t="s">
        <v>10</v>
      </c>
      <c r="C23" t="str" cm="1">
        <f t="array" ref="C23">_xlfn.IFS(ISNUMBER(FIND("N",B23)),"Needles",ISNUMBER(FIND("P",B23)),"Phloem")</f>
        <v>Phloem</v>
      </c>
      <c r="D23" cm="1">
        <f t="array" ref="D23">_xlfn.IFS(ISNUMBER(FIND("R13C",B23)),3,ISNUMBER(FIND("R22C",B23)),2)</f>
        <v>2</v>
      </c>
      <c r="E23">
        <f>VLOOKUP(F23,ColRef!$A$2:$B$258,2,FALSE)</f>
        <v>2160.0001579999998</v>
      </c>
      <c r="F23">
        <v>56</v>
      </c>
      <c r="H23" s="11">
        <v>2448.0000340000001</v>
      </c>
      <c r="I23">
        <v>1</v>
      </c>
      <c r="J23" t="s">
        <v>158</v>
      </c>
    </row>
    <row r="24" spans="1:10" x14ac:dyDescent="0.25">
      <c r="A24" t="s">
        <v>35</v>
      </c>
      <c r="B24" t="s">
        <v>10</v>
      </c>
      <c r="C24" t="str" cm="1">
        <f t="array" ref="C24">_xlfn.IFS(ISNUMBER(FIND("N",B24)),"Needles",ISNUMBER(FIND("P",B24)),"Phloem")</f>
        <v>Phloem</v>
      </c>
      <c r="D24" cm="1">
        <f t="array" ref="D24">_xlfn.IFS(ISNUMBER(FIND("R13C",B24)),3,ISNUMBER(FIND("R22C",B24)),2)</f>
        <v>2</v>
      </c>
      <c r="E24">
        <f>VLOOKUP(F24,ColRef!$A$2:$B$258,2,FALSE)</f>
        <v>2166.3718370000001</v>
      </c>
      <c r="F24">
        <v>55</v>
      </c>
      <c r="H24" s="11">
        <v>1465.868579</v>
      </c>
      <c r="I24">
        <v>1</v>
      </c>
      <c r="J24" t="s">
        <v>166</v>
      </c>
    </row>
    <row r="25" spans="1:10" x14ac:dyDescent="0.25">
      <c r="A25" t="s">
        <v>35</v>
      </c>
      <c r="B25" t="s">
        <v>10</v>
      </c>
      <c r="C25" t="str" cm="1">
        <f t="array" ref="C25">_xlfn.IFS(ISNUMBER(FIND("N",B25)),"Needles",ISNUMBER(FIND("P",B25)),"Phloem")</f>
        <v>Phloem</v>
      </c>
      <c r="D25" cm="1">
        <f t="array" ref="D25">_xlfn.IFS(ISNUMBER(FIND("R13C",B25)),3,ISNUMBER(FIND("R22C",B25)),2)</f>
        <v>2</v>
      </c>
      <c r="E25">
        <f>VLOOKUP(F25,ColRef!$A$2:$B$258,2,FALSE)</f>
        <v>2400.0000570000002</v>
      </c>
      <c r="F25">
        <v>22</v>
      </c>
      <c r="H25" s="11">
        <v>2384.415649</v>
      </c>
      <c r="I25">
        <v>1</v>
      </c>
      <c r="J25" t="s">
        <v>158</v>
      </c>
    </row>
    <row r="26" spans="1:10" x14ac:dyDescent="0.25">
      <c r="A26" t="s">
        <v>35</v>
      </c>
      <c r="B26" t="s">
        <v>10</v>
      </c>
      <c r="C26" t="str" cm="1">
        <f t="array" ref="C26">_xlfn.IFS(ISNUMBER(FIND("N",B26)),"Needles",ISNUMBER(FIND("P",B26)),"Phloem")</f>
        <v>Phloem</v>
      </c>
      <c r="D26" cm="1">
        <f t="array" ref="D26">_xlfn.IFS(ISNUMBER(FIND("R13C",B26)),3,ISNUMBER(FIND("R22C",B26)),2)</f>
        <v>2</v>
      </c>
      <c r="E26">
        <f>VLOOKUP(F26,ColRef!$A$2:$B$258,2,FALSE)</f>
        <v>1420.5032200000001</v>
      </c>
      <c r="F26">
        <v>233</v>
      </c>
      <c r="H26" s="11">
        <v>1813.3335950000001</v>
      </c>
      <c r="I26">
        <v>1</v>
      </c>
      <c r="J26" t="s">
        <v>164</v>
      </c>
    </row>
    <row r="27" spans="1:10" x14ac:dyDescent="0.25">
      <c r="A27" t="s">
        <v>35</v>
      </c>
      <c r="B27" t="s">
        <v>10</v>
      </c>
      <c r="C27" t="str" cm="1">
        <f t="array" ref="C27">_xlfn.IFS(ISNUMBER(FIND("N",B27)),"Needles",ISNUMBER(FIND("P",B27)),"Phloem")</f>
        <v>Phloem</v>
      </c>
      <c r="D27" cm="1">
        <f t="array" ref="D27">_xlfn.IFS(ISNUMBER(FIND("R13C",B27)),3,ISNUMBER(FIND("R22C",B27)),2)</f>
        <v>2</v>
      </c>
      <c r="E27">
        <f>VLOOKUP(F27,ColRef!$A$2:$B$258,2,FALSE)</f>
        <v>1462.948523</v>
      </c>
      <c r="F27">
        <v>218</v>
      </c>
      <c r="H27" s="11">
        <v>2376.6990970000002</v>
      </c>
      <c r="I27">
        <v>1</v>
      </c>
      <c r="J27" t="s">
        <v>158</v>
      </c>
    </row>
    <row r="28" spans="1:10" x14ac:dyDescent="0.25">
      <c r="A28" t="s">
        <v>35</v>
      </c>
      <c r="B28" t="s">
        <v>14</v>
      </c>
      <c r="C28" t="str" cm="1">
        <f t="array" ref="C28">_xlfn.IFS(ISNUMBER(FIND("N",B28)),"Needles",ISNUMBER(FIND("P",B28)),"Phloem")</f>
        <v>Phloem</v>
      </c>
      <c r="D28" cm="1">
        <f t="array" ref="D28">_xlfn.IFS(ISNUMBER(FIND("R13C",B28)),3,ISNUMBER(FIND("R22C",B28)),2)</f>
        <v>2</v>
      </c>
      <c r="E28">
        <f>VLOOKUP(F28,ColRef!$A$2:$B$258,2,FALSE)</f>
        <v>2172.7812180000001</v>
      </c>
      <c r="F28">
        <v>54</v>
      </c>
      <c r="H28" s="11">
        <v>1719.906604</v>
      </c>
      <c r="I28">
        <v>1</v>
      </c>
      <c r="J28" t="s">
        <v>167</v>
      </c>
    </row>
    <row r="29" spans="1:10" x14ac:dyDescent="0.25">
      <c r="A29" t="s">
        <v>37</v>
      </c>
      <c r="B29" t="s">
        <v>10</v>
      </c>
      <c r="C29" t="str" cm="1">
        <f t="array" ref="C29">_xlfn.IFS(ISNUMBER(FIND("N",B29)),"Needles",ISNUMBER(FIND("P",B29)),"Phloem")</f>
        <v>Phloem</v>
      </c>
      <c r="D29">
        <v>2</v>
      </c>
      <c r="E29">
        <v>2160.0001579999998</v>
      </c>
      <c r="F29">
        <v>56</v>
      </c>
      <c r="H29" s="11">
        <v>2431.7881219999999</v>
      </c>
      <c r="I29">
        <v>1</v>
      </c>
      <c r="J29" t="s">
        <v>158</v>
      </c>
    </row>
    <row r="30" spans="1:10" x14ac:dyDescent="0.25">
      <c r="A30" t="s">
        <v>37</v>
      </c>
      <c r="B30" t="s">
        <v>10</v>
      </c>
      <c r="C30" t="str" cm="1">
        <f t="array" ref="C30">_xlfn.IFS(ISNUMBER(FIND("N",B30)),"Needles",ISNUMBER(FIND("P",B30)),"Phloem")</f>
        <v>Phloem</v>
      </c>
      <c r="D30">
        <v>2</v>
      </c>
      <c r="E30">
        <v>2147.3685829999999</v>
      </c>
      <c r="F30">
        <v>58</v>
      </c>
      <c r="H30" s="11">
        <v>1665.306413</v>
      </c>
      <c r="I30">
        <v>1</v>
      </c>
      <c r="J30" t="s">
        <v>163</v>
      </c>
    </row>
    <row r="31" spans="1:10" x14ac:dyDescent="0.25">
      <c r="A31" t="s">
        <v>37</v>
      </c>
      <c r="B31" t="s">
        <v>10</v>
      </c>
      <c r="C31" t="str" cm="1">
        <f t="array" ref="C31">_xlfn.IFS(ISNUMBER(FIND("N",B31)),"Needles",ISNUMBER(FIND("P",B31)),"Phloem")</f>
        <v>Phloem</v>
      </c>
      <c r="D31">
        <v>2</v>
      </c>
      <c r="E31">
        <v>2153.665849</v>
      </c>
      <c r="F31">
        <v>57</v>
      </c>
      <c r="H31" s="11">
        <v>2423.7624219999998</v>
      </c>
      <c r="I31">
        <v>1</v>
      </c>
      <c r="J31" t="s">
        <v>158</v>
      </c>
    </row>
    <row r="32" spans="1:10" x14ac:dyDescent="0.25">
      <c r="A32" t="s">
        <v>37</v>
      </c>
      <c r="B32" t="s">
        <v>10</v>
      </c>
      <c r="C32" t="str" cm="1">
        <f t="array" ref="C32">_xlfn.IFS(ISNUMBER(FIND("N",B32)),"Needles",ISNUMBER(FIND("P",B32)),"Phloem")</f>
        <v>Phloem</v>
      </c>
      <c r="D32">
        <v>2</v>
      </c>
      <c r="E32">
        <v>2141.1080360000001</v>
      </c>
      <c r="F32">
        <v>59</v>
      </c>
      <c r="H32" s="11">
        <v>1642.9533140000001</v>
      </c>
      <c r="I32">
        <v>1</v>
      </c>
      <c r="J32" t="s">
        <v>163</v>
      </c>
    </row>
    <row r="33" spans="1:10" x14ac:dyDescent="0.25">
      <c r="A33" t="s">
        <v>37</v>
      </c>
      <c r="B33" t="s">
        <v>10</v>
      </c>
      <c r="C33" t="str" cm="1">
        <f t="array" ref="C33">_xlfn.IFS(ISNUMBER(FIND("N",B33)),"Needles",ISNUMBER(FIND("P",B33)),"Phloem")</f>
        <v>Phloem</v>
      </c>
      <c r="D33">
        <v>2</v>
      </c>
      <c r="E33">
        <v>2128.6958209999998</v>
      </c>
      <c r="F33">
        <v>61</v>
      </c>
      <c r="H33" s="11">
        <v>2185.714434</v>
      </c>
      <c r="I33">
        <v>1</v>
      </c>
      <c r="J33" t="s">
        <v>168</v>
      </c>
    </row>
    <row r="34" spans="1:10" x14ac:dyDescent="0.25">
      <c r="A34" t="s">
        <v>37</v>
      </c>
      <c r="B34" t="s">
        <v>10</v>
      </c>
      <c r="C34" t="str" cm="1">
        <f t="array" ref="C34">_xlfn.IFS(ISNUMBER(FIND("N",B34)),"Needles",ISNUMBER(FIND("P",B34)),"Phloem")</f>
        <v>Phloem</v>
      </c>
      <c r="D34">
        <v>2</v>
      </c>
      <c r="E34">
        <v>2122.5435240000002</v>
      </c>
      <c r="F34">
        <v>62</v>
      </c>
      <c r="H34" s="11">
        <v>2192.2389520000002</v>
      </c>
      <c r="I34">
        <v>1</v>
      </c>
      <c r="J34" t="s">
        <v>168</v>
      </c>
    </row>
    <row r="35" spans="1:10" x14ac:dyDescent="0.25">
      <c r="A35" t="s">
        <v>37</v>
      </c>
      <c r="B35" t="s">
        <v>10</v>
      </c>
      <c r="C35" t="str" cm="1">
        <f t="array" ref="C35">_xlfn.IFS(ISNUMBER(FIND("N",B35)),"Needles",ISNUMBER(FIND("P",B35)),"Phloem")</f>
        <v>Phloem</v>
      </c>
      <c r="D35">
        <v>2</v>
      </c>
      <c r="E35">
        <v>2134.8838879999998</v>
      </c>
      <c r="F35">
        <v>60</v>
      </c>
      <c r="H35" s="11">
        <v>1822.3327650000001</v>
      </c>
      <c r="I35">
        <v>1</v>
      </c>
      <c r="J35" t="s">
        <v>169</v>
      </c>
    </row>
    <row r="36" spans="1:10" x14ac:dyDescent="0.25">
      <c r="A36" t="s">
        <v>37</v>
      </c>
      <c r="B36" t="s">
        <v>10</v>
      </c>
      <c r="C36" t="str" cm="1">
        <f t="array" ref="C36">_xlfn.IFS(ISNUMBER(FIND("N",B36)),"Needles",ISNUMBER(FIND("P",B36)),"Phloem")</f>
        <v>Phloem</v>
      </c>
      <c r="D36">
        <v>2</v>
      </c>
      <c r="E36">
        <v>2023.1406999999999</v>
      </c>
      <c r="F36">
        <v>79</v>
      </c>
      <c r="H36" s="11">
        <v>2205.405546</v>
      </c>
      <c r="I36">
        <v>1</v>
      </c>
      <c r="J36" t="s">
        <v>168</v>
      </c>
    </row>
    <row r="37" spans="1:10" x14ac:dyDescent="0.25">
      <c r="A37" t="s">
        <v>37</v>
      </c>
      <c r="B37" t="s">
        <v>10</v>
      </c>
      <c r="C37" t="str" cm="1">
        <f t="array" ref="C37">_xlfn.IFS(ISNUMBER(FIND("N",B37)),"Needles",ISNUMBER(FIND("P",B37)),"Phloem")</f>
        <v>Phloem</v>
      </c>
      <c r="D37">
        <v>2</v>
      </c>
      <c r="E37">
        <v>1462.948523</v>
      </c>
      <c r="F37">
        <v>218</v>
      </c>
      <c r="H37" s="11">
        <v>1817.822042</v>
      </c>
      <c r="I37">
        <v>1</v>
      </c>
      <c r="J37" t="s">
        <v>164</v>
      </c>
    </row>
    <row r="38" spans="1:10" x14ac:dyDescent="0.25">
      <c r="A38" t="s">
        <v>37</v>
      </c>
      <c r="B38" t="s">
        <v>10</v>
      </c>
      <c r="C38" t="str" cm="1">
        <f t="array" ref="C38">_xlfn.IFS(ISNUMBER(FIND("N",B38)),"Needles",ISNUMBER(FIND("P",B38)),"Phloem")</f>
        <v>Phloem</v>
      </c>
      <c r="D38">
        <v>2</v>
      </c>
      <c r="E38">
        <v>2384.415649</v>
      </c>
      <c r="F38">
        <v>24</v>
      </c>
      <c r="H38" s="11">
        <v>2023.1406999999999</v>
      </c>
      <c r="I38">
        <v>1</v>
      </c>
      <c r="J38" t="s">
        <v>162</v>
      </c>
    </row>
    <row r="39" spans="1:10" x14ac:dyDescent="0.25">
      <c r="A39" t="s">
        <v>37</v>
      </c>
      <c r="B39" t="s">
        <v>10</v>
      </c>
      <c r="C39" t="str" cm="1">
        <f t="array" ref="C39">_xlfn.IFS(ISNUMBER(FIND("N",B39)),"Needles",ISNUMBER(FIND("P",B39)),"Phloem")</f>
        <v>Phloem</v>
      </c>
      <c r="D39">
        <v>2</v>
      </c>
      <c r="E39">
        <v>2415.7895229999999</v>
      </c>
      <c r="F39">
        <v>20</v>
      </c>
      <c r="H39" s="11" t="s">
        <v>16</v>
      </c>
      <c r="I39">
        <v>67</v>
      </c>
    </row>
    <row r="40" spans="1:10" x14ac:dyDescent="0.25">
      <c r="A40" t="s">
        <v>37</v>
      </c>
      <c r="B40" t="s">
        <v>10</v>
      </c>
      <c r="C40" t="str" cm="1">
        <f t="array" ref="C40">_xlfn.IFS(ISNUMBER(FIND("N",B40)),"Needles",ISNUMBER(FIND("P",B40)),"Phloem")</f>
        <v>Phloem</v>
      </c>
      <c r="D40">
        <v>2</v>
      </c>
      <c r="E40">
        <v>2116.4266859999998</v>
      </c>
      <c r="F40">
        <v>63</v>
      </c>
    </row>
    <row r="41" spans="1:10" x14ac:dyDescent="0.25">
      <c r="A41" t="s">
        <v>37</v>
      </c>
      <c r="B41" t="s">
        <v>10</v>
      </c>
      <c r="C41" t="str" cm="1">
        <f t="array" ref="C41">_xlfn.IFS(ISNUMBER(FIND("N",B41)),"Needles",ISNUMBER(FIND("P",B41)),"Phloem")</f>
        <v>Phloem</v>
      </c>
      <c r="D41">
        <v>2</v>
      </c>
      <c r="E41">
        <v>2400.0000570000002</v>
      </c>
      <c r="F41">
        <v>22</v>
      </c>
    </row>
    <row r="42" spans="1:10" x14ac:dyDescent="0.25">
      <c r="A42" t="s">
        <v>37</v>
      </c>
      <c r="B42" t="s">
        <v>10</v>
      </c>
      <c r="C42" t="str" cm="1">
        <f t="array" ref="C42">_xlfn.IFS(ISNUMBER(FIND("N",B42)),"Needles",ISNUMBER(FIND("P",B42)),"Phloem")</f>
        <v>Phloem</v>
      </c>
      <c r="D42">
        <v>2</v>
      </c>
      <c r="E42">
        <v>2407.8689060000002</v>
      </c>
      <c r="F42">
        <v>21</v>
      </c>
    </row>
    <row r="43" spans="1:10" x14ac:dyDescent="0.25">
      <c r="A43" t="s">
        <v>37</v>
      </c>
      <c r="B43" t="s">
        <v>10</v>
      </c>
      <c r="C43" t="str" cm="1">
        <f t="array" ref="C43">_xlfn.IFS(ISNUMBER(FIND("N",B43)),"Needles",ISNUMBER(FIND("P",B43)),"Phloem")</f>
        <v>Phloem</v>
      </c>
      <c r="D43">
        <v>2</v>
      </c>
      <c r="E43">
        <v>1428.794093</v>
      </c>
      <c r="F43">
        <v>230</v>
      </c>
    </row>
    <row r="44" spans="1:10" x14ac:dyDescent="0.25">
      <c r="A44" t="s">
        <v>37</v>
      </c>
      <c r="B44" t="s">
        <v>10</v>
      </c>
      <c r="C44" t="str" cm="1">
        <f t="array" ref="C44">_xlfn.IFS(ISNUMBER(FIND("N",B44)),"Needles",ISNUMBER(FIND("P",B44)),"Phloem")</f>
        <v>Phloem</v>
      </c>
      <c r="D44">
        <v>2</v>
      </c>
      <c r="E44">
        <v>2028.729484</v>
      </c>
      <c r="F44">
        <v>78</v>
      </c>
    </row>
    <row r="45" spans="1:10" x14ac:dyDescent="0.25">
      <c r="A45" t="s">
        <v>37</v>
      </c>
      <c r="B45" t="s">
        <v>10</v>
      </c>
      <c r="C45" t="str" cm="1">
        <f t="array" ref="C45">_xlfn.IFS(ISNUMBER(FIND("N",B45)),"Needles",ISNUMBER(FIND("P",B45)),"Phloem")</f>
        <v>Phloem</v>
      </c>
      <c r="D45">
        <v>2</v>
      </c>
      <c r="E45">
        <v>2431.7881219999999</v>
      </c>
      <c r="F45">
        <v>18</v>
      </c>
    </row>
    <row r="46" spans="1:10" x14ac:dyDescent="0.25">
      <c r="A46" t="s">
        <v>37</v>
      </c>
      <c r="B46" t="s">
        <v>10</v>
      </c>
      <c r="C46" t="str" cm="1">
        <f t="array" ref="C46">_xlfn.IFS(ISNUMBER(FIND("N",B46)),"Needles",ISNUMBER(FIND("P",B46)),"Phloem")</f>
        <v>Phloem</v>
      </c>
      <c r="D46">
        <v>2</v>
      </c>
      <c r="E46">
        <v>1465.868579</v>
      </c>
      <c r="F46">
        <v>217</v>
      </c>
    </row>
    <row r="47" spans="1:10" x14ac:dyDescent="0.25">
      <c r="A47" t="s">
        <v>37</v>
      </c>
      <c r="B47" t="s">
        <v>10</v>
      </c>
      <c r="C47" t="str" cm="1">
        <f t="array" ref="C47">_xlfn.IFS(ISNUMBER(FIND("N",B47)),"Needles",ISNUMBER(FIND("P",B47)),"Phloem")</f>
        <v>Phloem</v>
      </c>
      <c r="D47">
        <v>2</v>
      </c>
      <c r="E47">
        <v>2376.6990970000002</v>
      </c>
      <c r="F47">
        <v>25</v>
      </c>
    </row>
    <row r="48" spans="1:10" x14ac:dyDescent="0.25">
      <c r="A48" t="s">
        <v>37</v>
      </c>
      <c r="B48" t="s">
        <v>10</v>
      </c>
      <c r="C48" t="str" cm="1">
        <f t="array" ref="C48">_xlfn.IFS(ISNUMBER(FIND("N",B48)),"Needles",ISNUMBER(FIND("P",B48)),"Phloem")</f>
        <v>Phloem</v>
      </c>
      <c r="D48">
        <v>2</v>
      </c>
      <c r="E48">
        <v>2423.7624219999998</v>
      </c>
      <c r="F48">
        <v>19</v>
      </c>
    </row>
    <row r="49" spans="1:6" x14ac:dyDescent="0.25">
      <c r="A49" t="s">
        <v>37</v>
      </c>
      <c r="B49" t="s">
        <v>14</v>
      </c>
      <c r="C49" t="str" cm="1">
        <f t="array" ref="C49">_xlfn.IFS(ISNUMBER(FIND("N",B49)),"Needles",ISNUMBER(FIND("P",B49)),"Phloem")</f>
        <v>Phloem</v>
      </c>
      <c r="D49">
        <v>2</v>
      </c>
      <c r="E49">
        <v>2166.3718370000001</v>
      </c>
      <c r="F49">
        <v>55</v>
      </c>
    </row>
    <row r="50" spans="1:6" x14ac:dyDescent="0.25">
      <c r="A50" t="s">
        <v>37</v>
      </c>
      <c r="B50" t="s">
        <v>14</v>
      </c>
      <c r="C50" t="str" cm="1">
        <f t="array" ref="C50">_xlfn.IFS(ISNUMBER(FIND("N",B50)),"Needles",ISNUMBER(FIND("P",B50)),"Phloem")</f>
        <v>Phloem</v>
      </c>
      <c r="D50">
        <v>2</v>
      </c>
      <c r="E50">
        <v>2172.7812180000001</v>
      </c>
      <c r="F50">
        <v>54</v>
      </c>
    </row>
    <row r="51" spans="1:6" x14ac:dyDescent="0.25">
      <c r="A51" t="s">
        <v>37</v>
      </c>
      <c r="B51" t="s">
        <v>14</v>
      </c>
      <c r="C51" t="str" cm="1">
        <f t="array" ref="C51">_xlfn.IFS(ISNUMBER(FIND("N",B51)),"Needles",ISNUMBER(FIND("P",B51)),"Phloem")</f>
        <v>Phloem</v>
      </c>
      <c r="D51">
        <v>2</v>
      </c>
      <c r="E51">
        <v>2160.0001579999998</v>
      </c>
      <c r="F51">
        <v>56</v>
      </c>
    </row>
    <row r="52" spans="1:6" x14ac:dyDescent="0.25">
      <c r="A52" t="s">
        <v>37</v>
      </c>
      <c r="B52" t="s">
        <v>14</v>
      </c>
      <c r="C52" t="str" cm="1">
        <f t="array" ref="C52">_xlfn.IFS(ISNUMBER(FIND("N",B52)),"Needles",ISNUMBER(FIND("P",B52)),"Phloem")</f>
        <v>Phloem</v>
      </c>
      <c r="D52">
        <v>2</v>
      </c>
      <c r="E52">
        <v>2179.2286370000002</v>
      </c>
      <c r="F52">
        <v>53</v>
      </c>
    </row>
    <row r="53" spans="1:6" x14ac:dyDescent="0.25">
      <c r="A53" t="s">
        <v>37</v>
      </c>
      <c r="B53" t="s">
        <v>14</v>
      </c>
      <c r="C53" t="str" cm="1">
        <f t="array" ref="C53">_xlfn.IFS(ISNUMBER(FIND("N",B53)),"Needles",ISNUMBER(FIND("P",B53)),"Phloem")</f>
        <v>Phloem</v>
      </c>
      <c r="D53">
        <v>2</v>
      </c>
      <c r="E53">
        <v>1661.538753</v>
      </c>
      <c r="F53">
        <v>158</v>
      </c>
    </row>
    <row r="54" spans="1:6" x14ac:dyDescent="0.25">
      <c r="A54" t="s">
        <v>37</v>
      </c>
      <c r="B54" t="s">
        <v>14</v>
      </c>
      <c r="C54" t="str" cm="1">
        <f t="array" ref="C54">_xlfn.IFS(ISNUMBER(FIND("N",B54)),"Needles",ISNUMBER(FIND("P",B54)),"Phloem")</f>
        <v>Phloem</v>
      </c>
      <c r="D54">
        <v>2</v>
      </c>
      <c r="E54">
        <v>2153.665849</v>
      </c>
      <c r="F54">
        <v>57</v>
      </c>
    </row>
    <row r="55" spans="1:6" x14ac:dyDescent="0.25">
      <c r="A55" t="s">
        <v>37</v>
      </c>
      <c r="B55" t="s">
        <v>14</v>
      </c>
      <c r="C55" t="str" cm="1">
        <f t="array" ref="C55">_xlfn.IFS(ISNUMBER(FIND("N",B55)),"Needles",ISNUMBER(FIND("P",B55)),"Phloem")</f>
        <v>Phloem</v>
      </c>
      <c r="D55">
        <v>2</v>
      </c>
      <c r="E55">
        <v>2185.714434</v>
      </c>
      <c r="F55">
        <v>52</v>
      </c>
    </row>
    <row r="56" spans="1:6" x14ac:dyDescent="0.25">
      <c r="A56" t="s">
        <v>37</v>
      </c>
      <c r="B56" t="s">
        <v>14</v>
      </c>
      <c r="C56" t="str" cm="1">
        <f t="array" ref="C56">_xlfn.IFS(ISNUMBER(FIND("N",B56)),"Needles",ISNUMBER(FIND("P",B56)),"Phloem")</f>
        <v>Phloem</v>
      </c>
      <c r="D56">
        <v>2</v>
      </c>
      <c r="E56">
        <v>2122.5435240000002</v>
      </c>
      <c r="F56">
        <v>62</v>
      </c>
    </row>
    <row r="57" spans="1:6" x14ac:dyDescent="0.25">
      <c r="A57" t="s">
        <v>37</v>
      </c>
      <c r="B57" t="s">
        <v>14</v>
      </c>
      <c r="C57" t="str" cm="1">
        <f t="array" ref="C57">_xlfn.IFS(ISNUMBER(FIND("N",B57)),"Needles",ISNUMBER(FIND("P",B57)),"Phloem")</f>
        <v>Phloem</v>
      </c>
      <c r="D57">
        <v>2</v>
      </c>
      <c r="E57">
        <v>2192.2389520000002</v>
      </c>
      <c r="F57">
        <v>51</v>
      </c>
    </row>
    <row r="58" spans="1:6" x14ac:dyDescent="0.25">
      <c r="A58" t="s">
        <v>37</v>
      </c>
      <c r="B58" t="s">
        <v>14</v>
      </c>
      <c r="C58" t="str" cm="1">
        <f t="array" ref="C58">_xlfn.IFS(ISNUMBER(FIND("N",B58)),"Needles",ISNUMBER(FIND("P",B58)),"Phloem")</f>
        <v>Phloem</v>
      </c>
      <c r="D58">
        <v>2</v>
      </c>
      <c r="E58">
        <v>1822.3327650000001</v>
      </c>
      <c r="F58">
        <v>119</v>
      </c>
    </row>
    <row r="59" spans="1:6" x14ac:dyDescent="0.25">
      <c r="A59" t="s">
        <v>37</v>
      </c>
      <c r="B59" t="s">
        <v>14</v>
      </c>
      <c r="C59" t="str" cm="1">
        <f t="array" ref="C59">_xlfn.IFS(ISNUMBER(FIND("N",B59)),"Needles",ISNUMBER(FIND("P",B59)),"Phloem")</f>
        <v>Phloem</v>
      </c>
      <c r="D59">
        <v>2</v>
      </c>
      <c r="E59">
        <v>2134.8838879999998</v>
      </c>
      <c r="F59">
        <v>60</v>
      </c>
    </row>
    <row r="60" spans="1:6" x14ac:dyDescent="0.25">
      <c r="A60" t="s">
        <v>37</v>
      </c>
      <c r="B60" t="s">
        <v>14</v>
      </c>
      <c r="C60" t="str" cm="1">
        <f t="array" ref="C60">_xlfn.IFS(ISNUMBER(FIND("N",B60)),"Needles",ISNUMBER(FIND("P",B60)),"Phloem")</f>
        <v>Phloem</v>
      </c>
      <c r="D60">
        <v>2</v>
      </c>
      <c r="E60">
        <v>2147.3685829999999</v>
      </c>
      <c r="F60">
        <v>58</v>
      </c>
    </row>
    <row r="61" spans="1:6" x14ac:dyDescent="0.25">
      <c r="A61" t="s">
        <v>37</v>
      </c>
      <c r="B61" t="s">
        <v>14</v>
      </c>
      <c r="C61" t="str" cm="1">
        <f t="array" ref="C61">_xlfn.IFS(ISNUMBER(FIND("N",B61)),"Needles",ISNUMBER(FIND("P",B61)),"Phloem")</f>
        <v>Phloem</v>
      </c>
      <c r="D61">
        <v>2</v>
      </c>
      <c r="E61">
        <v>1813.3335950000001</v>
      </c>
      <c r="F61">
        <v>121</v>
      </c>
    </row>
    <row r="62" spans="1:6" x14ac:dyDescent="0.25">
      <c r="A62" t="s">
        <v>37</v>
      </c>
      <c r="B62" t="s">
        <v>14</v>
      </c>
      <c r="C62" t="str" cm="1">
        <f t="array" ref="C62">_xlfn.IFS(ISNUMBER(FIND("N",B62)),"Needles",ISNUMBER(FIND("P",B62)),"Phloem")</f>
        <v>Phloem</v>
      </c>
      <c r="D62">
        <v>2</v>
      </c>
      <c r="E62">
        <v>1642.9533140000001</v>
      </c>
      <c r="F62">
        <v>163</v>
      </c>
    </row>
    <row r="63" spans="1:6" x14ac:dyDescent="0.25">
      <c r="A63" t="s">
        <v>37</v>
      </c>
      <c r="B63" t="s">
        <v>14</v>
      </c>
      <c r="C63" t="str" cm="1">
        <f t="array" ref="C63">_xlfn.IFS(ISNUMBER(FIND("N",B63)),"Needles",ISNUMBER(FIND("P",B63)),"Phloem")</f>
        <v>Phloem</v>
      </c>
      <c r="D63">
        <v>2</v>
      </c>
      <c r="E63">
        <v>1817.822042</v>
      </c>
      <c r="F63">
        <v>120</v>
      </c>
    </row>
    <row r="64" spans="1:6" x14ac:dyDescent="0.25">
      <c r="A64" t="s">
        <v>37</v>
      </c>
      <c r="B64" t="s">
        <v>14</v>
      </c>
      <c r="C64" t="str" cm="1">
        <f t="array" ref="C64">_xlfn.IFS(ISNUMBER(FIND("N",B64)),"Needles",ISNUMBER(FIND("P",B64)),"Phloem")</f>
        <v>Phloem</v>
      </c>
      <c r="D64">
        <v>2</v>
      </c>
      <c r="E64">
        <v>1665.306413</v>
      </c>
      <c r="F64">
        <v>157</v>
      </c>
    </row>
    <row r="65" spans="1:6" x14ac:dyDescent="0.25">
      <c r="A65" t="s">
        <v>37</v>
      </c>
      <c r="B65" t="s">
        <v>14</v>
      </c>
      <c r="C65" t="str" cm="1">
        <f t="array" ref="C65">_xlfn.IFS(ISNUMBER(FIND("N",B65)),"Needles",ISNUMBER(FIND("P",B65)),"Phloem")</f>
        <v>Phloem</v>
      </c>
      <c r="D65">
        <v>2</v>
      </c>
      <c r="E65">
        <v>1672.8932279999999</v>
      </c>
      <c r="F65">
        <v>155</v>
      </c>
    </row>
    <row r="66" spans="1:6" x14ac:dyDescent="0.25">
      <c r="A66" t="s">
        <v>37</v>
      </c>
      <c r="B66" t="s">
        <v>14</v>
      </c>
      <c r="C66" t="str" cm="1">
        <f t="array" ref="C66">_xlfn.IFS(ISNUMBER(FIND("N",B66)),"Needles",ISNUMBER(FIND("P",B66)),"Phloem")</f>
        <v>Phloem</v>
      </c>
      <c r="D66">
        <v>2</v>
      </c>
      <c r="E66">
        <v>2448.0000340000001</v>
      </c>
      <c r="F66">
        <v>16</v>
      </c>
    </row>
    <row r="67" spans="1:6" x14ac:dyDescent="0.25">
      <c r="A67" t="s">
        <v>37</v>
      </c>
      <c r="B67" t="s">
        <v>14</v>
      </c>
      <c r="C67" t="str" cm="1">
        <f t="array" ref="C67">_xlfn.IFS(ISNUMBER(FIND("N",B67)),"Needles",ISNUMBER(FIND("P",B67)),"Phloem")</f>
        <v>Phloem</v>
      </c>
      <c r="D67">
        <v>2</v>
      </c>
      <c r="E67">
        <v>1808.8672570000001</v>
      </c>
      <c r="F67">
        <v>122</v>
      </c>
    </row>
    <row r="68" spans="1:6" x14ac:dyDescent="0.25">
      <c r="A68" t="s">
        <v>37</v>
      </c>
      <c r="B68" t="s">
        <v>14</v>
      </c>
      <c r="C68" t="str" cm="1">
        <f t="array" ref="C68">_xlfn.IFS(ISNUMBER(FIND("N",B68)),"Needles",ISNUMBER(FIND("P",B68)),"Phloem")</f>
        <v>Phloem</v>
      </c>
      <c r="D68">
        <v>2</v>
      </c>
      <c r="E68">
        <v>2141.1080360000001</v>
      </c>
      <c r="F68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DBE4-E70D-444F-91D3-502C1D39F662}">
  <dimension ref="A1:C25"/>
  <sheetViews>
    <sheetView workbookViewId="0">
      <selection activeCell="A15" sqref="A15:C25"/>
    </sheetView>
  </sheetViews>
  <sheetFormatPr defaultRowHeight="15" x14ac:dyDescent="0.25"/>
  <cols>
    <col min="1" max="1" width="17.140625" customWidth="1"/>
    <col min="2" max="2" width="11" customWidth="1"/>
    <col min="3" max="3" width="69.85546875" customWidth="1"/>
  </cols>
  <sheetData>
    <row r="1" spans="1:3" x14ac:dyDescent="0.25">
      <c r="A1" s="16" t="s">
        <v>7</v>
      </c>
      <c r="B1" s="16" t="s">
        <v>33</v>
      </c>
      <c r="C1" s="17" t="s">
        <v>148</v>
      </c>
    </row>
    <row r="2" spans="1:3" x14ac:dyDescent="0.25">
      <c r="A2" s="18">
        <v>2160.0001579999998</v>
      </c>
      <c r="B2" s="19">
        <v>7</v>
      </c>
      <c r="C2" s="19" t="s">
        <v>150</v>
      </c>
    </row>
    <row r="3" spans="1:3" x14ac:dyDescent="0.25">
      <c r="A3" s="18">
        <v>2141.1080360000001</v>
      </c>
      <c r="B3" s="19">
        <v>6</v>
      </c>
      <c r="C3" s="19" t="s">
        <v>150</v>
      </c>
    </row>
    <row r="4" spans="1:3" x14ac:dyDescent="0.25">
      <c r="A4" s="18">
        <v>2153.665849</v>
      </c>
      <c r="B4" s="19">
        <v>6</v>
      </c>
      <c r="C4" s="19" t="s">
        <v>150</v>
      </c>
    </row>
    <row r="5" spans="1:3" x14ac:dyDescent="0.25">
      <c r="A5" s="18">
        <v>2400.0000570000002</v>
      </c>
      <c r="B5" s="19">
        <v>6</v>
      </c>
      <c r="C5" s="19" t="s">
        <v>149</v>
      </c>
    </row>
    <row r="6" spans="1:3" x14ac:dyDescent="0.25">
      <c r="A6" s="18">
        <v>2172.7812180000001</v>
      </c>
      <c r="B6" s="19">
        <v>5</v>
      </c>
      <c r="C6" s="19" t="s">
        <v>150</v>
      </c>
    </row>
    <row r="7" spans="1:3" x14ac:dyDescent="0.25">
      <c r="A7" s="18">
        <v>2166.3718370000001</v>
      </c>
      <c r="B7" s="19">
        <v>5</v>
      </c>
      <c r="C7" s="19" t="s">
        <v>150</v>
      </c>
    </row>
    <row r="8" spans="1:3" x14ac:dyDescent="0.25">
      <c r="A8" s="18">
        <v>2001.09013</v>
      </c>
      <c r="B8" s="19">
        <v>4</v>
      </c>
      <c r="C8" s="19" t="s">
        <v>151</v>
      </c>
    </row>
    <row r="9" spans="1:3" x14ac:dyDescent="0.25">
      <c r="A9" s="18">
        <v>2134.8838879999998</v>
      </c>
      <c r="B9" s="19">
        <v>4</v>
      </c>
      <c r="C9" s="19" t="s">
        <v>150</v>
      </c>
    </row>
    <row r="10" spans="1:3" x14ac:dyDescent="0.25">
      <c r="A10" s="18">
        <v>1661.538753</v>
      </c>
      <c r="B10" s="19">
        <v>4</v>
      </c>
      <c r="C10" s="19" t="s">
        <v>152</v>
      </c>
    </row>
    <row r="11" spans="1:3" x14ac:dyDescent="0.25">
      <c r="A11" s="18">
        <v>2407.8689060000002</v>
      </c>
      <c r="B11" s="19">
        <v>4</v>
      </c>
      <c r="C11" s="19" t="s">
        <v>149</v>
      </c>
    </row>
    <row r="15" spans="1:3" x14ac:dyDescent="0.25">
      <c r="A15" t="s">
        <v>7</v>
      </c>
      <c r="B15" t="s">
        <v>33</v>
      </c>
      <c r="C15" t="s">
        <v>171</v>
      </c>
    </row>
    <row r="16" spans="1:3" x14ac:dyDescent="0.25">
      <c r="A16" s="11">
        <v>2141.1080360000001</v>
      </c>
      <c r="B16" s="15">
        <v>4</v>
      </c>
      <c r="C16" t="s">
        <v>173</v>
      </c>
    </row>
    <row r="17" spans="1:3" x14ac:dyDescent="0.25">
      <c r="A17" s="11">
        <v>2153.665849</v>
      </c>
      <c r="B17" s="15">
        <v>4</v>
      </c>
      <c r="C17" t="s">
        <v>173</v>
      </c>
    </row>
    <row r="18" spans="1:3" x14ac:dyDescent="0.25">
      <c r="A18" s="11">
        <v>2160.0001579999998</v>
      </c>
      <c r="B18" s="15">
        <v>4</v>
      </c>
      <c r="C18" t="s">
        <v>173</v>
      </c>
    </row>
    <row r="19" spans="1:3" x14ac:dyDescent="0.25">
      <c r="A19" s="11">
        <v>2134.8838879999998</v>
      </c>
      <c r="B19" s="15">
        <v>4</v>
      </c>
      <c r="C19" t="s">
        <v>173</v>
      </c>
    </row>
    <row r="20" spans="1:3" x14ac:dyDescent="0.25">
      <c r="A20" s="11">
        <v>2166.3718370000001</v>
      </c>
      <c r="B20" s="15">
        <v>3</v>
      </c>
      <c r="C20" t="s">
        <v>173</v>
      </c>
    </row>
    <row r="21" spans="1:3" x14ac:dyDescent="0.25">
      <c r="A21" s="11">
        <v>1462.948523</v>
      </c>
      <c r="B21" s="15">
        <v>3</v>
      </c>
      <c r="C21" t="s">
        <v>174</v>
      </c>
    </row>
    <row r="22" spans="1:3" x14ac:dyDescent="0.25">
      <c r="A22" s="11">
        <v>2147.3685829999999</v>
      </c>
      <c r="B22" s="15">
        <v>3</v>
      </c>
      <c r="C22" t="s">
        <v>173</v>
      </c>
    </row>
    <row r="23" spans="1:3" x14ac:dyDescent="0.25">
      <c r="A23" s="11">
        <v>2400.0000570000002</v>
      </c>
      <c r="B23" s="15">
        <v>3</v>
      </c>
      <c r="C23" t="s">
        <v>175</v>
      </c>
    </row>
    <row r="24" spans="1:3" x14ac:dyDescent="0.25">
      <c r="A24" s="11">
        <v>2172.7812180000001</v>
      </c>
      <c r="B24" s="15">
        <v>3</v>
      </c>
      <c r="C24" t="s">
        <v>173</v>
      </c>
    </row>
    <row r="25" spans="1:3" x14ac:dyDescent="0.25">
      <c r="A25" s="11">
        <v>2122.5435240000002</v>
      </c>
      <c r="B25" s="15">
        <v>3</v>
      </c>
      <c r="C25" t="s">
        <v>172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0C93-C19C-49C1-8722-D2E0E7DA15B6}">
  <dimension ref="A1:AQ162"/>
  <sheetViews>
    <sheetView topLeftCell="A125" workbookViewId="0">
      <selection activeCell="D83" activeCellId="3" sqref="A83:A162 C83:C162 I83:I162 D83:D162"/>
    </sheetView>
  </sheetViews>
  <sheetFormatPr defaultRowHeight="15" x14ac:dyDescent="0.25"/>
  <cols>
    <col min="1" max="1" width="15.85546875" customWidth="1"/>
    <col min="2" max="3" width="17.7109375" customWidth="1"/>
    <col min="4" max="4" width="23.85546875" customWidth="1"/>
    <col min="5" max="5" width="19.140625" customWidth="1"/>
    <col min="6" max="6" width="15.42578125" customWidth="1"/>
    <col min="7" max="7" width="18.42578125" customWidth="1"/>
    <col min="9" max="9" width="12" bestFit="1" customWidth="1"/>
    <col min="11" max="11" width="13.42578125" bestFit="1" customWidth="1"/>
    <col min="12" max="12" width="14" bestFit="1" customWidth="1"/>
    <col min="13" max="13" width="25.140625" bestFit="1" customWidth="1"/>
    <col min="14" max="29" width="6.28515625" bestFit="1" customWidth="1"/>
    <col min="30" max="30" width="5.140625" bestFit="1" customWidth="1"/>
    <col min="31" max="41" width="6.28515625" bestFit="1" customWidth="1"/>
    <col min="42" max="42" width="5.140625" bestFit="1" customWidth="1"/>
    <col min="43" max="47" width="6.28515625" bestFit="1" customWidth="1"/>
    <col min="48" max="48" width="5.140625" bestFit="1" customWidth="1"/>
    <col min="49" max="49" width="4.140625" bestFit="1" customWidth="1"/>
    <col min="50" max="50" width="7.28515625" bestFit="1" customWidth="1"/>
    <col min="51" max="51" width="11.28515625" bestFit="1" customWidth="1"/>
  </cols>
  <sheetData>
    <row r="1" spans="1:43" x14ac:dyDescent="0.25">
      <c r="E1" s="21" t="s">
        <v>1</v>
      </c>
      <c r="F1" s="21"/>
      <c r="G1" s="21"/>
      <c r="U1" t="s">
        <v>2</v>
      </c>
      <c r="V1" t="s">
        <v>27</v>
      </c>
      <c r="W1" t="s">
        <v>28</v>
      </c>
      <c r="X1" t="s">
        <v>7</v>
      </c>
      <c r="Y1" t="s">
        <v>4</v>
      </c>
      <c r="Z1" t="s">
        <v>5</v>
      </c>
      <c r="AA1" t="s">
        <v>6</v>
      </c>
      <c r="AC1" t="s">
        <v>2</v>
      </c>
      <c r="AD1" t="s">
        <v>27</v>
      </c>
      <c r="AE1" t="s">
        <v>28</v>
      </c>
      <c r="AF1" t="s">
        <v>32</v>
      </c>
      <c r="AG1" t="s">
        <v>4</v>
      </c>
      <c r="AH1" t="s">
        <v>5</v>
      </c>
      <c r="AI1" t="s">
        <v>6</v>
      </c>
      <c r="AK1" t="s">
        <v>2</v>
      </c>
      <c r="AL1" t="s">
        <v>27</v>
      </c>
      <c r="AM1" t="s">
        <v>28</v>
      </c>
      <c r="AN1" t="s">
        <v>32</v>
      </c>
      <c r="AO1" t="s">
        <v>4</v>
      </c>
      <c r="AP1" t="s">
        <v>5</v>
      </c>
      <c r="AQ1" t="s">
        <v>6</v>
      </c>
    </row>
    <row r="2" spans="1:43" x14ac:dyDescent="0.25">
      <c r="A2" s="13" t="s">
        <v>2</v>
      </c>
      <c r="B2" s="13" t="s">
        <v>21</v>
      </c>
      <c r="C2" s="13" t="s">
        <v>24</v>
      </c>
      <c r="D2" s="13" t="s">
        <v>7</v>
      </c>
      <c r="E2" s="13" t="s">
        <v>4</v>
      </c>
      <c r="F2" s="13" t="s">
        <v>5</v>
      </c>
      <c r="G2" s="13" t="s">
        <v>6</v>
      </c>
      <c r="P2" s="1"/>
      <c r="Q2" s="2"/>
      <c r="R2" s="3"/>
      <c r="U2" t="s">
        <v>11</v>
      </c>
      <c r="V2" t="s">
        <v>23</v>
      </c>
      <c r="W2">
        <v>3</v>
      </c>
      <c r="X2">
        <v>2361.4148660000001</v>
      </c>
      <c r="Y2">
        <v>19.403400000000001</v>
      </c>
      <c r="Z2">
        <v>100</v>
      </c>
      <c r="AA2">
        <v>94.64</v>
      </c>
      <c r="AC2" t="s">
        <v>3</v>
      </c>
      <c r="AD2" t="s">
        <v>22</v>
      </c>
      <c r="AE2">
        <v>3</v>
      </c>
      <c r="AF2">
        <v>2324.0507240000002</v>
      </c>
      <c r="AG2">
        <v>70.290000000000006</v>
      </c>
      <c r="AH2">
        <v>75.27</v>
      </c>
      <c r="AI2">
        <v>100</v>
      </c>
      <c r="AK2" t="s">
        <v>8</v>
      </c>
      <c r="AL2" t="s">
        <v>22</v>
      </c>
      <c r="AM2">
        <v>2</v>
      </c>
      <c r="AN2">
        <v>2153.665849</v>
      </c>
      <c r="AQ2">
        <v>100</v>
      </c>
    </row>
    <row r="3" spans="1:43" x14ac:dyDescent="0.25">
      <c r="A3" t="s">
        <v>3</v>
      </c>
      <c r="B3" t="s">
        <v>22</v>
      </c>
      <c r="C3">
        <v>3</v>
      </c>
      <c r="D3">
        <v>2324.0507240000002</v>
      </c>
      <c r="E3">
        <v>70.290000000000006</v>
      </c>
      <c r="F3">
        <v>75.27</v>
      </c>
      <c r="G3">
        <v>100</v>
      </c>
      <c r="I3">
        <f>VLOOKUP(D3,WLReference!$A$2:$B$258,2,FALSE)</f>
        <v>32</v>
      </c>
      <c r="P3" s="4"/>
      <c r="Q3" s="5"/>
      <c r="R3" s="6"/>
      <c r="U3" t="s">
        <v>11</v>
      </c>
      <c r="V3" t="s">
        <v>23</v>
      </c>
      <c r="W3">
        <v>3</v>
      </c>
      <c r="X3">
        <v>2369.03233</v>
      </c>
      <c r="Y3">
        <v>27.109400000000001</v>
      </c>
      <c r="Z3">
        <v>90.78</v>
      </c>
      <c r="AA3">
        <v>68.86</v>
      </c>
      <c r="AC3" t="s">
        <v>3</v>
      </c>
      <c r="AD3" t="s">
        <v>22</v>
      </c>
      <c r="AE3">
        <v>3</v>
      </c>
      <c r="AF3">
        <v>1665.306413</v>
      </c>
      <c r="AG3">
        <v>96.22</v>
      </c>
      <c r="AH3">
        <v>22.1</v>
      </c>
      <c r="AI3">
        <v>69.72</v>
      </c>
      <c r="AK3" t="s">
        <v>8</v>
      </c>
      <c r="AL3" t="s">
        <v>22</v>
      </c>
      <c r="AM3">
        <v>2</v>
      </c>
      <c r="AN3">
        <v>1511.1114219999999</v>
      </c>
      <c r="AQ3">
        <v>91.7</v>
      </c>
    </row>
    <row r="4" spans="1:43" x14ac:dyDescent="0.25">
      <c r="A4" t="s">
        <v>3</v>
      </c>
      <c r="B4" t="s">
        <v>22</v>
      </c>
      <c r="C4">
        <v>3</v>
      </c>
      <c r="D4">
        <v>1665.306413</v>
      </c>
      <c r="E4">
        <v>96.22</v>
      </c>
      <c r="F4">
        <v>22.1</v>
      </c>
      <c r="G4">
        <v>69.72</v>
      </c>
      <c r="I4">
        <f>VLOOKUP(D4,WLReference!$A$2:$B$258,2,FALSE)</f>
        <v>157</v>
      </c>
      <c r="P4" s="4"/>
      <c r="Q4" s="5"/>
      <c r="R4" s="6"/>
      <c r="U4" t="s">
        <v>11</v>
      </c>
      <c r="V4" t="s">
        <v>23</v>
      </c>
      <c r="W4">
        <v>3</v>
      </c>
      <c r="X4">
        <v>2353.8462319999999</v>
      </c>
      <c r="Y4">
        <v>0.81710000000000005</v>
      </c>
      <c r="Z4">
        <v>88.18</v>
      </c>
      <c r="AA4">
        <v>90.65</v>
      </c>
      <c r="AC4" t="s">
        <v>3</v>
      </c>
      <c r="AD4" t="s">
        <v>22</v>
      </c>
      <c r="AE4">
        <v>3</v>
      </c>
      <c r="AF4">
        <v>1360.0003220000001</v>
      </c>
      <c r="AG4">
        <v>19.649999999999999</v>
      </c>
      <c r="AH4">
        <v>17.87</v>
      </c>
      <c r="AI4">
        <v>91.04</v>
      </c>
      <c r="AK4" t="s">
        <v>8</v>
      </c>
      <c r="AL4" t="s">
        <v>22</v>
      </c>
      <c r="AM4">
        <v>2</v>
      </c>
      <c r="AN4">
        <v>2400.0000570000002</v>
      </c>
      <c r="AQ4">
        <v>84.95</v>
      </c>
    </row>
    <row r="5" spans="1:43" x14ac:dyDescent="0.25">
      <c r="A5" t="s">
        <v>3</v>
      </c>
      <c r="B5" t="s">
        <v>22</v>
      </c>
      <c r="C5">
        <v>3</v>
      </c>
      <c r="D5">
        <v>1360.0003220000001</v>
      </c>
      <c r="E5">
        <v>19.649999999999999</v>
      </c>
      <c r="F5">
        <v>17.87</v>
      </c>
      <c r="G5">
        <v>91.04</v>
      </c>
      <c r="I5">
        <f>VLOOKUP(D5,WLReference!$A$2:$B$258,2,FALSE)</f>
        <v>256</v>
      </c>
      <c r="P5" s="4"/>
      <c r="Q5" s="5"/>
      <c r="R5" s="6"/>
      <c r="U5" t="s">
        <v>11</v>
      </c>
      <c r="V5" t="s">
        <v>23</v>
      </c>
      <c r="W5">
        <v>3</v>
      </c>
      <c r="X5">
        <v>2376.6990970000002</v>
      </c>
      <c r="Y5">
        <v>13.454800000000001</v>
      </c>
      <c r="Z5">
        <v>85.87</v>
      </c>
      <c r="AA5">
        <v>65.27</v>
      </c>
      <c r="AC5" t="s">
        <v>3</v>
      </c>
      <c r="AD5" t="s">
        <v>22</v>
      </c>
      <c r="AE5">
        <v>3</v>
      </c>
      <c r="AF5">
        <v>1508.008525</v>
      </c>
      <c r="AG5">
        <v>89.02</v>
      </c>
      <c r="AH5">
        <v>82.05</v>
      </c>
      <c r="AI5">
        <v>46.37</v>
      </c>
      <c r="AK5" t="s">
        <v>8</v>
      </c>
      <c r="AL5" t="s">
        <v>22</v>
      </c>
      <c r="AM5">
        <v>2</v>
      </c>
      <c r="AN5">
        <v>2160.0001579999998</v>
      </c>
      <c r="AQ5">
        <v>80.34</v>
      </c>
    </row>
    <row r="6" spans="1:43" x14ac:dyDescent="0.25">
      <c r="A6" t="s">
        <v>3</v>
      </c>
      <c r="B6" t="s">
        <v>22</v>
      </c>
      <c r="C6">
        <v>3</v>
      </c>
      <c r="D6">
        <v>1508.008525</v>
      </c>
      <c r="E6">
        <v>89.02</v>
      </c>
      <c r="F6">
        <v>82.05</v>
      </c>
      <c r="G6">
        <v>46.37</v>
      </c>
      <c r="I6">
        <f>VLOOKUP(D6,WLReference!$A$2:$B$258,2,FALSE)</f>
        <v>203</v>
      </c>
      <c r="P6" s="4"/>
      <c r="Q6" s="5"/>
      <c r="R6" s="6"/>
      <c r="U6" t="s">
        <v>11</v>
      </c>
      <c r="V6" t="s">
        <v>23</v>
      </c>
      <c r="W6">
        <v>3</v>
      </c>
      <c r="X6">
        <v>1696.074188</v>
      </c>
      <c r="Y6">
        <v>36.523400000000002</v>
      </c>
      <c r="Z6">
        <v>39.64</v>
      </c>
      <c r="AA6">
        <v>76.819999999999993</v>
      </c>
      <c r="AC6" t="s">
        <v>3</v>
      </c>
      <c r="AD6" t="s">
        <v>22</v>
      </c>
      <c r="AE6">
        <v>3</v>
      </c>
      <c r="AF6">
        <v>1661.538753</v>
      </c>
      <c r="AG6">
        <v>88.17</v>
      </c>
      <c r="AH6">
        <v>72.22</v>
      </c>
      <c r="AI6">
        <v>75.790000000000006</v>
      </c>
      <c r="AK6" t="s">
        <v>8</v>
      </c>
      <c r="AL6" t="s">
        <v>22</v>
      </c>
      <c r="AM6">
        <v>2</v>
      </c>
      <c r="AN6">
        <v>2407.8689060000002</v>
      </c>
      <c r="AQ6">
        <v>76.87</v>
      </c>
    </row>
    <row r="7" spans="1:43" x14ac:dyDescent="0.25">
      <c r="A7" t="s">
        <v>3</v>
      </c>
      <c r="B7" t="s">
        <v>22</v>
      </c>
      <c r="C7">
        <v>3</v>
      </c>
      <c r="D7">
        <v>1661.538753</v>
      </c>
      <c r="E7">
        <v>88.17</v>
      </c>
      <c r="F7">
        <v>72.22</v>
      </c>
      <c r="G7">
        <v>75.790000000000006</v>
      </c>
      <c r="I7">
        <f>VLOOKUP(D7,WLReference!$A$2:$B$258,2,FALSE)</f>
        <v>158</v>
      </c>
      <c r="P7" s="4"/>
      <c r="Q7" s="5"/>
      <c r="R7" s="6"/>
      <c r="U7" t="s">
        <v>11</v>
      </c>
      <c r="V7" t="s">
        <v>23</v>
      </c>
      <c r="W7">
        <v>3</v>
      </c>
      <c r="X7">
        <v>2384.415649</v>
      </c>
      <c r="Y7">
        <v>17.911999999999999</v>
      </c>
      <c r="Z7">
        <v>76.62</v>
      </c>
      <c r="AA7">
        <v>57.03</v>
      </c>
      <c r="AC7" t="s">
        <v>3</v>
      </c>
      <c r="AD7" t="s">
        <v>22</v>
      </c>
      <c r="AE7">
        <v>3</v>
      </c>
      <c r="AF7">
        <v>2266.6667830000001</v>
      </c>
      <c r="AG7">
        <v>17.59</v>
      </c>
      <c r="AH7">
        <v>18</v>
      </c>
      <c r="AI7">
        <v>88.08</v>
      </c>
      <c r="AK7" t="s">
        <v>8</v>
      </c>
      <c r="AL7" t="s">
        <v>22</v>
      </c>
      <c r="AM7">
        <v>2</v>
      </c>
      <c r="AN7">
        <v>1471.743802</v>
      </c>
      <c r="AQ7">
        <v>76.61</v>
      </c>
    </row>
    <row r="8" spans="1:43" x14ac:dyDescent="0.25">
      <c r="A8" t="s">
        <v>3</v>
      </c>
      <c r="B8" t="s">
        <v>22</v>
      </c>
      <c r="C8">
        <v>3</v>
      </c>
      <c r="D8">
        <v>2266.6667830000001</v>
      </c>
      <c r="E8">
        <v>17.59</v>
      </c>
      <c r="F8">
        <v>18</v>
      </c>
      <c r="G8">
        <v>88.08</v>
      </c>
      <c r="I8">
        <f>VLOOKUP(D8,WLReference!$A$2:$B$258,2,FALSE)</f>
        <v>40</v>
      </c>
      <c r="K8" s="10" t="s">
        <v>15</v>
      </c>
      <c r="L8" t="s">
        <v>17</v>
      </c>
      <c r="M8" t="s">
        <v>19</v>
      </c>
      <c r="P8" s="4"/>
      <c r="Q8" s="5"/>
      <c r="R8" s="6"/>
      <c r="U8" t="s">
        <v>11</v>
      </c>
      <c r="V8" t="s">
        <v>23</v>
      </c>
      <c r="W8">
        <v>3</v>
      </c>
      <c r="X8">
        <v>2309.43406</v>
      </c>
      <c r="Y8">
        <v>60.608899999999998</v>
      </c>
      <c r="Z8">
        <v>70.77</v>
      </c>
      <c r="AA8">
        <v>16.28</v>
      </c>
      <c r="AC8" t="s">
        <v>3</v>
      </c>
      <c r="AD8" t="s">
        <v>22</v>
      </c>
      <c r="AE8">
        <v>3</v>
      </c>
      <c r="AF8">
        <v>1610.526615</v>
      </c>
      <c r="AG8">
        <v>67.3</v>
      </c>
      <c r="AH8">
        <v>73.36</v>
      </c>
      <c r="AI8">
        <v>87.56</v>
      </c>
      <c r="AK8" t="s">
        <v>8</v>
      </c>
      <c r="AL8" t="s">
        <v>22</v>
      </c>
      <c r="AM8">
        <v>2</v>
      </c>
      <c r="AN8">
        <v>2456.1873209999999</v>
      </c>
      <c r="AQ8">
        <v>72.16</v>
      </c>
    </row>
    <row r="9" spans="1:43" x14ac:dyDescent="0.25">
      <c r="A9" t="s">
        <v>3</v>
      </c>
      <c r="B9" t="s">
        <v>22</v>
      </c>
      <c r="C9">
        <v>3</v>
      </c>
      <c r="D9">
        <v>1610.526615</v>
      </c>
      <c r="E9">
        <v>67.3</v>
      </c>
      <c r="F9">
        <v>73.36</v>
      </c>
      <c r="G9">
        <v>87.56</v>
      </c>
      <c r="I9">
        <f>VLOOKUP(D9,WLReference!$A$2:$B$258,2,FALSE)</f>
        <v>172</v>
      </c>
      <c r="K9" s="11">
        <v>2153.665849</v>
      </c>
      <c r="L9">
        <v>80.585999999999984</v>
      </c>
      <c r="M9">
        <v>5</v>
      </c>
      <c r="P9" s="4"/>
      <c r="Q9" s="5"/>
      <c r="R9" s="6"/>
      <c r="U9" t="s">
        <v>11</v>
      </c>
      <c r="V9" t="s">
        <v>23</v>
      </c>
      <c r="W9">
        <v>3</v>
      </c>
      <c r="X9">
        <v>1878.261115</v>
      </c>
      <c r="Y9">
        <v>27.1738</v>
      </c>
      <c r="Z9">
        <v>54.42</v>
      </c>
      <c r="AA9">
        <v>69.56</v>
      </c>
      <c r="AC9" t="s">
        <v>3</v>
      </c>
      <c r="AD9" t="s">
        <v>22</v>
      </c>
      <c r="AE9">
        <v>3</v>
      </c>
      <c r="AF9">
        <v>2302.1944579999999</v>
      </c>
      <c r="AG9">
        <v>87.38</v>
      </c>
      <c r="AH9">
        <v>30.66</v>
      </c>
      <c r="AI9">
        <v>13.33</v>
      </c>
      <c r="AK9" t="s">
        <v>8</v>
      </c>
      <c r="AL9" t="s">
        <v>22</v>
      </c>
      <c r="AM9">
        <v>2</v>
      </c>
      <c r="AN9">
        <v>1533.194463</v>
      </c>
      <c r="AQ9">
        <v>72.08</v>
      </c>
    </row>
    <row r="10" spans="1:43" x14ac:dyDescent="0.25">
      <c r="A10" t="s">
        <v>3</v>
      </c>
      <c r="B10" t="s">
        <v>22</v>
      </c>
      <c r="C10">
        <v>3</v>
      </c>
      <c r="D10">
        <v>2302.1944579999999</v>
      </c>
      <c r="E10">
        <v>87.38</v>
      </c>
      <c r="F10">
        <v>30.66</v>
      </c>
      <c r="G10">
        <v>13.33</v>
      </c>
      <c r="I10">
        <f>VLOOKUP(D10,WLReference!$A$2:$B$258,2,FALSE)</f>
        <v>35</v>
      </c>
      <c r="K10" s="11">
        <v>2160.0001579999998</v>
      </c>
      <c r="L10">
        <v>83.343999999999994</v>
      </c>
      <c r="M10">
        <v>5</v>
      </c>
      <c r="P10" s="4"/>
      <c r="Q10" s="5"/>
      <c r="R10" s="6"/>
      <c r="U10" t="s">
        <v>11</v>
      </c>
      <c r="V10" t="s">
        <v>23</v>
      </c>
      <c r="W10">
        <v>3</v>
      </c>
      <c r="X10">
        <v>2346.3259600000001</v>
      </c>
      <c r="Y10">
        <v>19.8324</v>
      </c>
      <c r="Z10">
        <v>41.23</v>
      </c>
      <c r="AA10">
        <v>69.540000000000006</v>
      </c>
      <c r="AC10" t="s">
        <v>3</v>
      </c>
      <c r="AD10" t="s">
        <v>22</v>
      </c>
      <c r="AE10">
        <v>3</v>
      </c>
      <c r="AF10">
        <v>2456.1873209999999</v>
      </c>
      <c r="AG10">
        <v>87.28</v>
      </c>
      <c r="AH10">
        <v>61.27</v>
      </c>
      <c r="AI10">
        <v>46.37</v>
      </c>
      <c r="AK10" t="s">
        <v>8</v>
      </c>
      <c r="AL10" t="s">
        <v>22</v>
      </c>
      <c r="AM10">
        <v>2</v>
      </c>
      <c r="AN10">
        <v>2141.1080360000001</v>
      </c>
      <c r="AQ10">
        <v>70.180000000000007</v>
      </c>
    </row>
    <row r="11" spans="1:43" x14ac:dyDescent="0.25">
      <c r="A11" t="s">
        <v>3</v>
      </c>
      <c r="B11" t="s">
        <v>22</v>
      </c>
      <c r="C11">
        <v>3</v>
      </c>
      <c r="D11">
        <v>2456.1873209999999</v>
      </c>
      <c r="E11">
        <v>87.28</v>
      </c>
      <c r="F11">
        <v>61.27</v>
      </c>
      <c r="G11">
        <v>46.37</v>
      </c>
      <c r="I11">
        <f>VLOOKUP(D11,WLReference!$A$2:$B$258,2,FALSE)</f>
        <v>15</v>
      </c>
      <c r="K11" s="11">
        <v>2141.1080360000001</v>
      </c>
      <c r="L11">
        <v>72.888000000000005</v>
      </c>
      <c r="M11">
        <v>5</v>
      </c>
      <c r="P11" s="4"/>
      <c r="Q11" s="5"/>
      <c r="R11" s="6"/>
      <c r="U11" t="s">
        <v>11</v>
      </c>
      <c r="V11" t="s">
        <v>23</v>
      </c>
      <c r="W11">
        <v>3</v>
      </c>
      <c r="X11">
        <v>2295.0001040000002</v>
      </c>
      <c r="Y11">
        <v>40.452399999999997</v>
      </c>
      <c r="Z11">
        <v>69.459999999999994</v>
      </c>
      <c r="AA11">
        <v>26</v>
      </c>
      <c r="AC11" t="s">
        <v>3</v>
      </c>
      <c r="AD11" t="s">
        <v>22</v>
      </c>
      <c r="AE11">
        <v>3</v>
      </c>
      <c r="AF11">
        <v>2068.7325839999999</v>
      </c>
      <c r="AG11">
        <v>87.22</v>
      </c>
      <c r="AH11">
        <v>12</v>
      </c>
      <c r="AI11">
        <v>27.35</v>
      </c>
      <c r="AK11" t="s">
        <v>8</v>
      </c>
      <c r="AL11" t="s">
        <v>22</v>
      </c>
      <c r="AM11">
        <v>2</v>
      </c>
      <c r="AN11">
        <v>1669.091199</v>
      </c>
      <c r="AQ11">
        <v>69.739999999999995</v>
      </c>
    </row>
    <row r="12" spans="1:43" x14ac:dyDescent="0.25">
      <c r="A12" t="s">
        <v>3</v>
      </c>
      <c r="B12" t="s">
        <v>22</v>
      </c>
      <c r="C12">
        <v>3</v>
      </c>
      <c r="D12">
        <v>2068.7325839999999</v>
      </c>
      <c r="E12">
        <v>87.22</v>
      </c>
      <c r="F12">
        <v>12</v>
      </c>
      <c r="G12">
        <v>27.35</v>
      </c>
      <c r="I12">
        <f>VLOOKUP(D12,WLReference!$A$2:$B$258,2,FALSE)</f>
        <v>71</v>
      </c>
      <c r="K12" s="11">
        <v>1661.538753</v>
      </c>
      <c r="L12">
        <v>68.655000000000001</v>
      </c>
      <c r="M12">
        <v>4</v>
      </c>
      <c r="P12" s="4"/>
      <c r="Q12" s="5"/>
      <c r="R12" s="6"/>
      <c r="U12" t="s">
        <v>11</v>
      </c>
      <c r="V12" t="s">
        <v>23</v>
      </c>
      <c r="W12">
        <v>3</v>
      </c>
      <c r="X12">
        <v>1700.000284</v>
      </c>
      <c r="Y12">
        <v>20.065300000000001</v>
      </c>
      <c r="Z12">
        <v>52.81</v>
      </c>
      <c r="AA12">
        <v>68.569999999999993</v>
      </c>
      <c r="AC12" t="s">
        <v>3</v>
      </c>
      <c r="AD12" t="s">
        <v>22</v>
      </c>
      <c r="AE12">
        <v>3</v>
      </c>
      <c r="AF12">
        <v>2309.43406</v>
      </c>
      <c r="AG12">
        <v>85.6</v>
      </c>
      <c r="AH12">
        <v>23.58</v>
      </c>
      <c r="AI12">
        <v>60.04</v>
      </c>
      <c r="AK12" t="s">
        <v>8</v>
      </c>
      <c r="AL12" t="s">
        <v>22</v>
      </c>
      <c r="AM12">
        <v>2</v>
      </c>
      <c r="AN12">
        <v>1495.7233269999999</v>
      </c>
      <c r="AQ12">
        <v>69.569999999999993</v>
      </c>
    </row>
    <row r="13" spans="1:43" x14ac:dyDescent="0.25">
      <c r="A13" t="s">
        <v>3</v>
      </c>
      <c r="B13" t="s">
        <v>22</v>
      </c>
      <c r="C13">
        <v>3</v>
      </c>
      <c r="D13">
        <v>2309.43406</v>
      </c>
      <c r="E13">
        <v>85.6</v>
      </c>
      <c r="F13">
        <v>23.58</v>
      </c>
      <c r="G13">
        <v>60.04</v>
      </c>
      <c r="I13">
        <f>VLOOKUP(D13,WLReference!$A$2:$B$258,2,FALSE)</f>
        <v>34</v>
      </c>
      <c r="K13" s="11">
        <v>2134.8838879999998</v>
      </c>
      <c r="L13">
        <v>74.657499999999999</v>
      </c>
      <c r="M13">
        <v>4</v>
      </c>
      <c r="P13" s="4"/>
      <c r="Q13" s="5"/>
      <c r="R13" s="6"/>
      <c r="U13" t="s">
        <v>11</v>
      </c>
      <c r="V13" t="s">
        <v>23</v>
      </c>
      <c r="W13">
        <v>3</v>
      </c>
      <c r="X13">
        <v>1711.8883940000001</v>
      </c>
      <c r="Y13">
        <v>35.540399999999998</v>
      </c>
      <c r="Z13">
        <v>67.09</v>
      </c>
      <c r="AA13">
        <v>12.47</v>
      </c>
      <c r="AC13" t="s">
        <v>3</v>
      </c>
      <c r="AD13" t="s">
        <v>22</v>
      </c>
      <c r="AE13">
        <v>3</v>
      </c>
      <c r="AF13">
        <v>1892.7837469999999</v>
      </c>
      <c r="AG13">
        <v>46.37</v>
      </c>
      <c r="AH13">
        <v>85.6</v>
      </c>
      <c r="AI13">
        <v>25.43</v>
      </c>
      <c r="AK13" t="s">
        <v>8</v>
      </c>
      <c r="AL13" t="s">
        <v>22</v>
      </c>
      <c r="AM13">
        <v>2</v>
      </c>
      <c r="AN13">
        <v>2172.7812180000001</v>
      </c>
      <c r="AQ13">
        <v>69.400000000000006</v>
      </c>
    </row>
    <row r="14" spans="1:43" x14ac:dyDescent="0.25">
      <c r="A14" t="s">
        <v>3</v>
      </c>
      <c r="B14" t="s">
        <v>22</v>
      </c>
      <c r="C14">
        <v>3</v>
      </c>
      <c r="D14">
        <v>1892.7837469999999</v>
      </c>
      <c r="E14">
        <v>46.37</v>
      </c>
      <c r="F14">
        <v>85.6</v>
      </c>
      <c r="G14">
        <v>25.43</v>
      </c>
      <c r="I14">
        <f>VLOOKUP(D14,WLReference!$A$2:$B$258,2,FALSE)</f>
        <v>104</v>
      </c>
      <c r="K14" s="11">
        <v>2147.3685829999999</v>
      </c>
      <c r="L14">
        <v>70.967500000000001</v>
      </c>
      <c r="M14">
        <v>4</v>
      </c>
      <c r="P14" s="4"/>
      <c r="Q14" s="5"/>
      <c r="R14" s="6"/>
      <c r="U14" t="s">
        <v>11</v>
      </c>
      <c r="V14" t="s">
        <v>23</v>
      </c>
      <c r="W14">
        <v>3</v>
      </c>
      <c r="X14">
        <v>2302.1944579999999</v>
      </c>
      <c r="Y14">
        <v>43.359900000000003</v>
      </c>
      <c r="Z14">
        <v>66.959999999999994</v>
      </c>
      <c r="AA14">
        <v>29.82</v>
      </c>
      <c r="AC14" t="s">
        <v>3</v>
      </c>
      <c r="AD14" t="s">
        <v>22</v>
      </c>
      <c r="AE14">
        <v>3</v>
      </c>
      <c r="AF14">
        <v>1442.8293940000001</v>
      </c>
      <c r="AG14">
        <v>10.9</v>
      </c>
      <c r="AH14">
        <v>84.84</v>
      </c>
      <c r="AI14">
        <v>25.02</v>
      </c>
      <c r="AK14" t="s">
        <v>8</v>
      </c>
      <c r="AL14" t="s">
        <v>22</v>
      </c>
      <c r="AM14">
        <v>2</v>
      </c>
      <c r="AN14">
        <v>1661.538753</v>
      </c>
      <c r="AQ14">
        <v>68.39</v>
      </c>
    </row>
    <row r="15" spans="1:43" x14ac:dyDescent="0.25">
      <c r="A15" t="s">
        <v>3</v>
      </c>
      <c r="B15" t="s">
        <v>22</v>
      </c>
      <c r="C15">
        <v>3</v>
      </c>
      <c r="D15">
        <v>1442.8293940000001</v>
      </c>
      <c r="E15">
        <v>10.9</v>
      </c>
      <c r="F15">
        <v>84.84</v>
      </c>
      <c r="G15">
        <v>25.02</v>
      </c>
      <c r="I15">
        <f>VLOOKUP(D15,WLReference!$A$2:$B$258,2,FALSE)</f>
        <v>225</v>
      </c>
      <c r="K15" s="11">
        <v>2166.3718370000001</v>
      </c>
      <c r="L15">
        <v>72.204999999999998</v>
      </c>
      <c r="M15">
        <v>4</v>
      </c>
      <c r="P15" s="4"/>
      <c r="Q15" s="5"/>
      <c r="R15" s="6"/>
      <c r="U15" t="s">
        <v>11</v>
      </c>
      <c r="V15" t="s">
        <v>23</v>
      </c>
      <c r="W15">
        <v>3</v>
      </c>
      <c r="X15">
        <v>2316.7193379999999</v>
      </c>
      <c r="Y15">
        <v>56.410200000000003</v>
      </c>
      <c r="Z15">
        <v>66.42</v>
      </c>
      <c r="AA15">
        <v>24.67</v>
      </c>
      <c r="AC15" t="s">
        <v>3</v>
      </c>
      <c r="AD15" t="s">
        <v>22</v>
      </c>
      <c r="AE15">
        <v>3</v>
      </c>
      <c r="AF15">
        <v>1460.0400770000001</v>
      </c>
      <c r="AG15">
        <v>84.6</v>
      </c>
      <c r="AH15">
        <v>46.37</v>
      </c>
      <c r="AI15">
        <v>38.950000000000003</v>
      </c>
      <c r="AK15" t="s">
        <v>8</v>
      </c>
      <c r="AL15" t="s">
        <v>22</v>
      </c>
      <c r="AM15">
        <v>2</v>
      </c>
      <c r="AN15">
        <v>2017.5826239999999</v>
      </c>
      <c r="AQ15">
        <v>67.989999999999995</v>
      </c>
    </row>
    <row r="16" spans="1:43" x14ac:dyDescent="0.25">
      <c r="A16" t="s">
        <v>3</v>
      </c>
      <c r="B16" t="s">
        <v>22</v>
      </c>
      <c r="C16">
        <v>3</v>
      </c>
      <c r="D16">
        <v>1460.0400770000001</v>
      </c>
      <c r="E16">
        <v>84.6</v>
      </c>
      <c r="F16">
        <v>46.37</v>
      </c>
      <c r="G16">
        <v>38.950000000000003</v>
      </c>
      <c r="I16">
        <f>VLOOKUP(D16,WLReference!$A$2:$B$258,2,FALSE)</f>
        <v>219</v>
      </c>
      <c r="K16" s="11">
        <v>1669.091199</v>
      </c>
      <c r="L16">
        <v>73.13666666666667</v>
      </c>
      <c r="M16">
        <v>3</v>
      </c>
      <c r="P16" s="4"/>
      <c r="Q16" s="5"/>
      <c r="R16" s="6"/>
      <c r="U16" t="s">
        <v>11</v>
      </c>
      <c r="V16" t="s">
        <v>23</v>
      </c>
      <c r="W16">
        <v>3</v>
      </c>
      <c r="X16">
        <v>1984.8650809999999</v>
      </c>
      <c r="Y16">
        <v>65.8078</v>
      </c>
      <c r="Z16">
        <v>34.26</v>
      </c>
      <c r="AA16">
        <v>55.07</v>
      </c>
      <c r="AC16" t="s">
        <v>3</v>
      </c>
      <c r="AD16" t="s">
        <v>22</v>
      </c>
      <c r="AE16">
        <v>3</v>
      </c>
      <c r="AF16">
        <v>2497.9591930000001</v>
      </c>
      <c r="AG16">
        <v>82.78</v>
      </c>
      <c r="AH16">
        <v>17.510000000000002</v>
      </c>
      <c r="AI16">
        <v>16.73</v>
      </c>
      <c r="AK16" t="s">
        <v>8</v>
      </c>
      <c r="AL16" t="s">
        <v>22</v>
      </c>
      <c r="AM16">
        <v>2</v>
      </c>
      <c r="AN16">
        <v>2001.09013</v>
      </c>
      <c r="AQ16">
        <v>67.86</v>
      </c>
    </row>
    <row r="17" spans="1:43" x14ac:dyDescent="0.25">
      <c r="A17" t="s">
        <v>3</v>
      </c>
      <c r="B17" t="s">
        <v>22</v>
      </c>
      <c r="C17">
        <v>3</v>
      </c>
      <c r="D17">
        <v>2497.9591930000001</v>
      </c>
      <c r="E17">
        <v>82.78</v>
      </c>
      <c r="F17">
        <v>17.510000000000002</v>
      </c>
      <c r="G17">
        <v>16.73</v>
      </c>
      <c r="I17">
        <f>VLOOKUP(D17,WLReference!$A$2:$B$258,2,FALSE)</f>
        <v>10</v>
      </c>
      <c r="K17" s="11">
        <v>2369.03233</v>
      </c>
      <c r="L17">
        <v>76.86999999999999</v>
      </c>
      <c r="M17">
        <v>3</v>
      </c>
      <c r="P17" s="4"/>
      <c r="Q17" s="5"/>
      <c r="R17" s="6"/>
      <c r="U17" t="s">
        <v>11</v>
      </c>
      <c r="V17" t="s">
        <v>23</v>
      </c>
      <c r="W17">
        <v>3</v>
      </c>
      <c r="X17">
        <v>2280.7454520000001</v>
      </c>
      <c r="Y17">
        <v>29.041399999999999</v>
      </c>
      <c r="Z17">
        <v>65.75</v>
      </c>
      <c r="AA17">
        <v>37.369999999999997</v>
      </c>
      <c r="AC17" t="s">
        <v>3</v>
      </c>
      <c r="AD17" t="s">
        <v>22</v>
      </c>
      <c r="AE17">
        <v>3</v>
      </c>
      <c r="AF17">
        <v>2295.0001040000002</v>
      </c>
      <c r="AG17">
        <v>81.22</v>
      </c>
      <c r="AH17">
        <v>48.66</v>
      </c>
      <c r="AI17">
        <v>82.63</v>
      </c>
      <c r="AK17" t="s">
        <v>8</v>
      </c>
      <c r="AL17" t="s">
        <v>22</v>
      </c>
      <c r="AM17">
        <v>2</v>
      </c>
      <c r="AN17">
        <v>1800.000264</v>
      </c>
      <c r="AQ17">
        <v>67.17</v>
      </c>
    </row>
    <row r="18" spans="1:43" x14ac:dyDescent="0.25">
      <c r="A18" t="s">
        <v>3</v>
      </c>
      <c r="B18" t="s">
        <v>22</v>
      </c>
      <c r="C18">
        <v>3</v>
      </c>
      <c r="D18">
        <v>2295.0001040000002</v>
      </c>
      <c r="E18">
        <v>81.22</v>
      </c>
      <c r="F18">
        <v>48.66</v>
      </c>
      <c r="G18">
        <v>82.63</v>
      </c>
      <c r="I18">
        <f>VLOOKUP(D18,WLReference!$A$2:$B$258,2,FALSE)</f>
        <v>36</v>
      </c>
      <c r="K18" s="11">
        <v>2122.5435240000002</v>
      </c>
      <c r="L18">
        <v>69.089999999999989</v>
      </c>
      <c r="M18">
        <v>3</v>
      </c>
      <c r="P18" s="4"/>
      <c r="Q18" s="5"/>
      <c r="R18" s="6"/>
      <c r="U18" t="s">
        <v>11</v>
      </c>
      <c r="V18" t="s">
        <v>23</v>
      </c>
      <c r="W18">
        <v>3</v>
      </c>
      <c r="X18">
        <v>2273.6843239999998</v>
      </c>
      <c r="Y18">
        <v>24.7803</v>
      </c>
      <c r="Z18">
        <v>65.709999999999994</v>
      </c>
      <c r="AA18">
        <v>25.3</v>
      </c>
      <c r="AC18" t="s">
        <v>3</v>
      </c>
      <c r="AD18" t="s">
        <v>22</v>
      </c>
      <c r="AE18">
        <v>3</v>
      </c>
      <c r="AF18">
        <v>2472.7272950000001</v>
      </c>
      <c r="AG18">
        <v>30.55</v>
      </c>
      <c r="AH18">
        <v>41.48</v>
      </c>
      <c r="AI18">
        <v>82.6</v>
      </c>
      <c r="AK18" t="s">
        <v>8</v>
      </c>
      <c r="AL18" t="s">
        <v>22</v>
      </c>
      <c r="AM18">
        <v>2</v>
      </c>
      <c r="AN18">
        <v>1912.500237</v>
      </c>
      <c r="AQ18">
        <v>65.75</v>
      </c>
    </row>
    <row r="19" spans="1:43" x14ac:dyDescent="0.25">
      <c r="A19" t="s">
        <v>3</v>
      </c>
      <c r="B19" t="s">
        <v>22</v>
      </c>
      <c r="C19">
        <v>3</v>
      </c>
      <c r="D19">
        <v>2472.7272950000001</v>
      </c>
      <c r="E19">
        <v>30.55</v>
      </c>
      <c r="F19">
        <v>41.48</v>
      </c>
      <c r="G19">
        <v>82.6</v>
      </c>
      <c r="I19">
        <f>VLOOKUP(D19,WLReference!$A$2:$B$258,2,FALSE)</f>
        <v>13</v>
      </c>
      <c r="K19" s="11">
        <v>2172.7812180000001</v>
      </c>
      <c r="L19">
        <v>82.22</v>
      </c>
      <c r="M19">
        <v>3</v>
      </c>
      <c r="P19" s="7"/>
      <c r="Q19" s="8"/>
      <c r="R19" s="9"/>
      <c r="U19" t="s">
        <v>11</v>
      </c>
      <c r="V19" t="s">
        <v>23</v>
      </c>
      <c r="W19">
        <v>3</v>
      </c>
      <c r="X19">
        <v>2287.8505740000001</v>
      </c>
      <c r="Y19">
        <v>57.619599999999998</v>
      </c>
      <c r="Z19">
        <v>63.67</v>
      </c>
      <c r="AA19">
        <v>15.98</v>
      </c>
      <c r="AC19" t="s">
        <v>3</v>
      </c>
      <c r="AD19" t="s">
        <v>22</v>
      </c>
      <c r="AE19">
        <v>3</v>
      </c>
      <c r="AF19">
        <v>2400.0000570000002</v>
      </c>
      <c r="AG19">
        <v>82.44</v>
      </c>
      <c r="AH19">
        <v>25.43</v>
      </c>
      <c r="AI19">
        <v>49.89</v>
      </c>
      <c r="AK19" t="s">
        <v>8</v>
      </c>
      <c r="AL19" t="s">
        <v>22</v>
      </c>
      <c r="AM19">
        <v>2</v>
      </c>
      <c r="AN19">
        <v>1468.800315</v>
      </c>
      <c r="AQ19">
        <v>63.45</v>
      </c>
    </row>
    <row r="20" spans="1:43" x14ac:dyDescent="0.25">
      <c r="A20" t="s">
        <v>3</v>
      </c>
      <c r="B20" t="s">
        <v>22</v>
      </c>
      <c r="C20">
        <v>3</v>
      </c>
      <c r="D20">
        <v>2400.0000570000002</v>
      </c>
      <c r="E20">
        <v>82.44</v>
      </c>
      <c r="F20">
        <v>25.43</v>
      </c>
      <c r="G20">
        <v>49.89</v>
      </c>
      <c r="I20">
        <f>VLOOKUP(D20,WLReference!$A$2:$B$258,2,FALSE)</f>
        <v>22</v>
      </c>
      <c r="K20" s="11">
        <v>2376.6990970000002</v>
      </c>
      <c r="L20">
        <v>69.069999999999993</v>
      </c>
      <c r="M20">
        <v>3</v>
      </c>
      <c r="U20" t="s">
        <v>11</v>
      </c>
      <c r="V20" t="s">
        <v>23</v>
      </c>
      <c r="W20">
        <v>3</v>
      </c>
      <c r="X20">
        <v>1715.888132</v>
      </c>
      <c r="Y20">
        <v>48.9116</v>
      </c>
      <c r="Z20">
        <v>63.44</v>
      </c>
      <c r="AA20">
        <v>17.93</v>
      </c>
      <c r="AC20" t="s">
        <v>3</v>
      </c>
      <c r="AD20" t="s">
        <v>22</v>
      </c>
      <c r="AE20">
        <v>3</v>
      </c>
      <c r="AF20">
        <v>1822.3327650000001</v>
      </c>
      <c r="AG20">
        <v>82.44</v>
      </c>
      <c r="AH20">
        <v>46.37</v>
      </c>
      <c r="AI20">
        <v>11</v>
      </c>
      <c r="AK20" t="s">
        <v>8</v>
      </c>
      <c r="AL20" t="s">
        <v>22</v>
      </c>
      <c r="AM20">
        <v>2</v>
      </c>
      <c r="AN20">
        <v>2166.3718370000001</v>
      </c>
      <c r="AQ20">
        <v>63.34</v>
      </c>
    </row>
    <row r="21" spans="1:43" x14ac:dyDescent="0.25">
      <c r="A21" t="s">
        <v>3</v>
      </c>
      <c r="B21" t="s">
        <v>22</v>
      </c>
      <c r="C21">
        <v>3</v>
      </c>
      <c r="D21">
        <v>1822.3327650000001</v>
      </c>
      <c r="E21">
        <v>82.44</v>
      </c>
      <c r="F21">
        <v>46.37</v>
      </c>
      <c r="G21">
        <v>11</v>
      </c>
      <c r="I21">
        <f>VLOOKUP(D21,WLReference!$A$2:$B$258,2,FALSE)</f>
        <v>119</v>
      </c>
      <c r="K21" s="11">
        <v>2295.0001040000002</v>
      </c>
      <c r="L21">
        <v>57.27</v>
      </c>
      <c r="M21">
        <v>3</v>
      </c>
      <c r="U21" t="s">
        <v>11</v>
      </c>
      <c r="V21" t="s">
        <v>23</v>
      </c>
      <c r="W21">
        <v>3</v>
      </c>
      <c r="X21">
        <v>2040.0001990000001</v>
      </c>
      <c r="Y21">
        <v>15.851900000000001</v>
      </c>
      <c r="Z21">
        <v>47.29</v>
      </c>
      <c r="AA21">
        <v>63.06</v>
      </c>
      <c r="AC21" t="s">
        <v>3</v>
      </c>
      <c r="AD21" t="s">
        <v>22</v>
      </c>
      <c r="AE21">
        <v>3</v>
      </c>
      <c r="AF21">
        <v>2198.8025379999999</v>
      </c>
      <c r="AG21">
        <v>82.41</v>
      </c>
      <c r="AH21">
        <v>51.78</v>
      </c>
      <c r="AI21">
        <v>69.790000000000006</v>
      </c>
      <c r="AK21" t="s">
        <v>8</v>
      </c>
      <c r="AL21" t="s">
        <v>22</v>
      </c>
      <c r="AM21">
        <v>2</v>
      </c>
      <c r="AN21">
        <v>2295.0001040000002</v>
      </c>
      <c r="AQ21">
        <v>63.18</v>
      </c>
    </row>
    <row r="22" spans="1:43" x14ac:dyDescent="0.25">
      <c r="A22" t="s">
        <v>3</v>
      </c>
      <c r="B22" t="s">
        <v>22</v>
      </c>
      <c r="C22">
        <v>3</v>
      </c>
      <c r="D22">
        <v>2198.8025379999999</v>
      </c>
      <c r="E22">
        <v>82.41</v>
      </c>
      <c r="F22">
        <v>51.78</v>
      </c>
      <c r="G22">
        <v>69.790000000000006</v>
      </c>
      <c r="I22">
        <f>VLOOKUP(D22,WLReference!$A$2:$B$258,2,FALSE)</f>
        <v>50</v>
      </c>
      <c r="K22" s="11">
        <v>2361.4148660000001</v>
      </c>
      <c r="L22">
        <v>88.216666666666654</v>
      </c>
      <c r="M22">
        <v>3</v>
      </c>
      <c r="U22" t="s">
        <v>12</v>
      </c>
      <c r="V22" t="s">
        <v>23</v>
      </c>
      <c r="W22">
        <v>2</v>
      </c>
      <c r="X22">
        <v>1696.074188</v>
      </c>
      <c r="AA22">
        <v>100</v>
      </c>
      <c r="AC22" t="s">
        <v>9</v>
      </c>
      <c r="AD22" t="s">
        <v>22</v>
      </c>
      <c r="AE22">
        <v>3</v>
      </c>
      <c r="AF22">
        <v>2134.8838879999998</v>
      </c>
      <c r="AG22">
        <v>100</v>
      </c>
      <c r="AH22">
        <v>78.698999999999998</v>
      </c>
      <c r="AI22">
        <v>84.97</v>
      </c>
      <c r="AK22" t="s">
        <v>10</v>
      </c>
      <c r="AL22" t="s">
        <v>22</v>
      </c>
      <c r="AM22">
        <v>2</v>
      </c>
      <c r="AN22">
        <v>2160.0001579999998</v>
      </c>
      <c r="AQ22">
        <v>100</v>
      </c>
    </row>
    <row r="23" spans="1:43" x14ac:dyDescent="0.25">
      <c r="A23" t="s">
        <v>9</v>
      </c>
      <c r="B23" t="s">
        <v>22</v>
      </c>
      <c r="C23">
        <v>3</v>
      </c>
      <c r="D23">
        <v>2134.8838879999998</v>
      </c>
      <c r="E23">
        <v>100</v>
      </c>
      <c r="F23">
        <v>78.698999999999998</v>
      </c>
      <c r="G23">
        <v>84.97</v>
      </c>
      <c r="I23">
        <f>VLOOKUP(D23,WLReference!$A$2:$B$258,2,FALSE)</f>
        <v>60</v>
      </c>
      <c r="K23" s="11">
        <v>1822.3327650000001</v>
      </c>
      <c r="L23">
        <v>45.963333333333331</v>
      </c>
      <c r="M23">
        <v>3</v>
      </c>
      <c r="U23" t="s">
        <v>12</v>
      </c>
      <c r="V23" t="s">
        <v>23</v>
      </c>
      <c r="W23">
        <v>2</v>
      </c>
      <c r="X23">
        <v>2361.4148660000001</v>
      </c>
      <c r="AA23">
        <v>97.8</v>
      </c>
      <c r="AC23" t="s">
        <v>9</v>
      </c>
      <c r="AD23" t="s">
        <v>22</v>
      </c>
      <c r="AE23">
        <v>3</v>
      </c>
      <c r="AF23">
        <v>2128.6958209999998</v>
      </c>
      <c r="AG23">
        <v>88.58</v>
      </c>
      <c r="AH23">
        <v>57.499000000000002</v>
      </c>
      <c r="AI23">
        <v>56.58</v>
      </c>
      <c r="AK23" t="s">
        <v>10</v>
      </c>
      <c r="AL23" t="s">
        <v>22</v>
      </c>
      <c r="AM23">
        <v>2</v>
      </c>
      <c r="AN23">
        <v>2147.3685829999999</v>
      </c>
      <c r="AQ23">
        <v>96.51</v>
      </c>
    </row>
    <row r="24" spans="1:43" x14ac:dyDescent="0.25">
      <c r="A24" t="s">
        <v>9</v>
      </c>
      <c r="B24" t="s">
        <v>22</v>
      </c>
      <c r="C24">
        <v>3</v>
      </c>
      <c r="D24">
        <v>2128.6958209999998</v>
      </c>
      <c r="E24">
        <v>88.58</v>
      </c>
      <c r="F24">
        <v>57.499000000000002</v>
      </c>
      <c r="G24">
        <v>56.58</v>
      </c>
      <c r="I24">
        <f>VLOOKUP(D24,WLReference!$A$2:$B$258,2,FALSE)</f>
        <v>61</v>
      </c>
      <c r="K24" s="11">
        <v>2384.415649</v>
      </c>
      <c r="L24">
        <v>71.413333333333327</v>
      </c>
      <c r="M24">
        <v>3</v>
      </c>
      <c r="U24" t="s">
        <v>12</v>
      </c>
      <c r="V24" t="s">
        <v>23</v>
      </c>
      <c r="W24">
        <v>2</v>
      </c>
      <c r="X24">
        <v>2001.09013</v>
      </c>
      <c r="AA24">
        <v>92.57</v>
      </c>
      <c r="AC24" t="s">
        <v>9</v>
      </c>
      <c r="AD24" t="s">
        <v>22</v>
      </c>
      <c r="AE24">
        <v>3</v>
      </c>
      <c r="AF24">
        <v>2153.665849</v>
      </c>
      <c r="AG24">
        <v>88.57</v>
      </c>
      <c r="AH24">
        <v>33.494999999999997</v>
      </c>
      <c r="AI24">
        <v>65.209999999999994</v>
      </c>
      <c r="AK24" t="s">
        <v>10</v>
      </c>
      <c r="AL24" t="s">
        <v>22</v>
      </c>
      <c r="AM24">
        <v>2</v>
      </c>
      <c r="AN24">
        <v>2153.665849</v>
      </c>
      <c r="AQ24">
        <v>90.85</v>
      </c>
    </row>
    <row r="25" spans="1:43" x14ac:dyDescent="0.25">
      <c r="A25" t="s">
        <v>9</v>
      </c>
      <c r="B25" t="s">
        <v>22</v>
      </c>
      <c r="C25">
        <v>3</v>
      </c>
      <c r="D25">
        <v>2153.665849</v>
      </c>
      <c r="E25">
        <v>88.57</v>
      </c>
      <c r="F25">
        <v>33.494999999999997</v>
      </c>
      <c r="G25">
        <v>65.209999999999994</v>
      </c>
      <c r="I25">
        <f>VLOOKUP(D25,WLReference!$A$2:$B$258,2,FALSE)</f>
        <v>57</v>
      </c>
      <c r="K25" s="11">
        <v>2400.0000570000002</v>
      </c>
      <c r="L25">
        <v>68</v>
      </c>
      <c r="M25">
        <v>3</v>
      </c>
      <c r="U25" t="s">
        <v>12</v>
      </c>
      <c r="V25" t="s">
        <v>23</v>
      </c>
      <c r="W25">
        <v>2</v>
      </c>
      <c r="X25">
        <v>1692.1661839999999</v>
      </c>
      <c r="AA25">
        <v>92.07</v>
      </c>
      <c r="AC25" t="s">
        <v>9</v>
      </c>
      <c r="AD25" t="s">
        <v>22</v>
      </c>
      <c r="AE25">
        <v>3</v>
      </c>
      <c r="AF25">
        <v>2160.0001579999998</v>
      </c>
      <c r="AG25">
        <v>87.76</v>
      </c>
      <c r="AH25">
        <v>34.841999999999999</v>
      </c>
      <c r="AI25">
        <v>67.84</v>
      </c>
      <c r="AK25" t="s">
        <v>10</v>
      </c>
      <c r="AL25" t="s">
        <v>22</v>
      </c>
      <c r="AM25">
        <v>2</v>
      </c>
      <c r="AN25">
        <v>2141.1080360000001</v>
      </c>
      <c r="AQ25">
        <v>89.63</v>
      </c>
    </row>
    <row r="26" spans="1:43" x14ac:dyDescent="0.25">
      <c r="A26" t="s">
        <v>9</v>
      </c>
      <c r="B26" t="s">
        <v>22</v>
      </c>
      <c r="C26">
        <v>3</v>
      </c>
      <c r="D26">
        <v>2160.0001579999998</v>
      </c>
      <c r="E26">
        <v>87.76</v>
      </c>
      <c r="F26">
        <v>34.841999999999999</v>
      </c>
      <c r="G26">
        <v>67.84</v>
      </c>
      <c r="I26">
        <f>VLOOKUP(D26,WLReference!$A$2:$B$258,2,FALSE)</f>
        <v>56</v>
      </c>
      <c r="K26" s="11">
        <v>2346.3259600000001</v>
      </c>
      <c r="L26">
        <v>72.905000000000001</v>
      </c>
      <c r="M26">
        <v>2</v>
      </c>
      <c r="U26" t="s">
        <v>12</v>
      </c>
      <c r="V26" t="s">
        <v>23</v>
      </c>
      <c r="W26">
        <v>2</v>
      </c>
      <c r="X26">
        <v>2353.8462319999999</v>
      </c>
      <c r="AA26">
        <v>89.68</v>
      </c>
      <c r="AC26" t="s">
        <v>9</v>
      </c>
      <c r="AD26" t="s">
        <v>22</v>
      </c>
      <c r="AE26">
        <v>3</v>
      </c>
      <c r="AF26">
        <v>2384.415649</v>
      </c>
      <c r="AG26">
        <v>64.599999999999994</v>
      </c>
      <c r="AH26">
        <v>63.725000000000001</v>
      </c>
      <c r="AI26">
        <v>83.85</v>
      </c>
      <c r="AK26" t="s">
        <v>10</v>
      </c>
      <c r="AL26" t="s">
        <v>22</v>
      </c>
      <c r="AM26">
        <v>2</v>
      </c>
      <c r="AN26">
        <v>2128.6958209999998</v>
      </c>
      <c r="AQ26">
        <v>84.83</v>
      </c>
    </row>
    <row r="27" spans="1:43" x14ac:dyDescent="0.25">
      <c r="A27" t="s">
        <v>9</v>
      </c>
      <c r="B27" t="s">
        <v>22</v>
      </c>
      <c r="C27">
        <v>3</v>
      </c>
      <c r="D27">
        <v>2384.415649</v>
      </c>
      <c r="E27">
        <v>64.599999999999994</v>
      </c>
      <c r="F27">
        <v>63.725000000000001</v>
      </c>
      <c r="G27">
        <v>83.85</v>
      </c>
      <c r="I27">
        <f>VLOOKUP(D27,WLReference!$A$2:$B$258,2,FALSE)</f>
        <v>24</v>
      </c>
      <c r="K27" s="11">
        <v>2415.7895229999999</v>
      </c>
      <c r="L27">
        <v>69.305000000000007</v>
      </c>
      <c r="M27">
        <v>2</v>
      </c>
      <c r="U27" t="s">
        <v>12</v>
      </c>
      <c r="V27" t="s">
        <v>23</v>
      </c>
      <c r="W27">
        <v>2</v>
      </c>
      <c r="X27">
        <v>1963.6365860000001</v>
      </c>
      <c r="AA27">
        <v>83.6</v>
      </c>
      <c r="AC27" t="s">
        <v>9</v>
      </c>
      <c r="AD27" t="s">
        <v>22</v>
      </c>
      <c r="AE27">
        <v>3</v>
      </c>
      <c r="AF27">
        <v>2141.1080360000001</v>
      </c>
      <c r="AG27">
        <v>83.23</v>
      </c>
      <c r="AH27">
        <v>54.598999999999997</v>
      </c>
      <c r="AI27">
        <v>69.36</v>
      </c>
      <c r="AK27" t="s">
        <v>10</v>
      </c>
      <c r="AL27" t="s">
        <v>22</v>
      </c>
      <c r="AM27">
        <v>2</v>
      </c>
      <c r="AN27">
        <v>2122.5435240000002</v>
      </c>
      <c r="AQ27">
        <v>83.6</v>
      </c>
    </row>
    <row r="28" spans="1:43" x14ac:dyDescent="0.25">
      <c r="A28" t="s">
        <v>9</v>
      </c>
      <c r="B28" t="s">
        <v>22</v>
      </c>
      <c r="C28">
        <v>3</v>
      </c>
      <c r="D28">
        <v>2141.1080360000001</v>
      </c>
      <c r="E28">
        <v>83.23</v>
      </c>
      <c r="F28">
        <v>54.598999999999997</v>
      </c>
      <c r="G28">
        <v>69.36</v>
      </c>
      <c r="I28">
        <f>VLOOKUP(D28,WLReference!$A$2:$B$258,2,FALSE)</f>
        <v>59</v>
      </c>
      <c r="K28" s="11">
        <v>2309.43406</v>
      </c>
      <c r="L28">
        <v>38.159999999999997</v>
      </c>
      <c r="M28">
        <v>2</v>
      </c>
      <c r="U28" t="s">
        <v>12</v>
      </c>
      <c r="V28" t="s">
        <v>23</v>
      </c>
      <c r="W28">
        <v>2</v>
      </c>
      <c r="X28">
        <v>2369.03233</v>
      </c>
      <c r="AA28">
        <v>80.97</v>
      </c>
      <c r="AC28" t="s">
        <v>9</v>
      </c>
      <c r="AD28" t="s">
        <v>22</v>
      </c>
      <c r="AE28">
        <v>3</v>
      </c>
      <c r="AF28">
        <v>2369.03233</v>
      </c>
      <c r="AG28">
        <v>39.85</v>
      </c>
      <c r="AH28">
        <v>77.277000000000001</v>
      </c>
      <c r="AI28">
        <v>80.78</v>
      </c>
      <c r="AK28" t="s">
        <v>10</v>
      </c>
      <c r="AL28" t="s">
        <v>22</v>
      </c>
      <c r="AM28">
        <v>2</v>
      </c>
      <c r="AN28">
        <v>2134.8838879999998</v>
      </c>
      <c r="AQ28">
        <v>80.900000000000006</v>
      </c>
    </row>
    <row r="29" spans="1:43" x14ac:dyDescent="0.25">
      <c r="A29" t="s">
        <v>9</v>
      </c>
      <c r="B29" t="s">
        <v>22</v>
      </c>
      <c r="C29">
        <v>3</v>
      </c>
      <c r="D29">
        <v>2369.03233</v>
      </c>
      <c r="E29">
        <v>39.85</v>
      </c>
      <c r="F29">
        <v>77.277000000000001</v>
      </c>
      <c r="G29">
        <v>80.78</v>
      </c>
      <c r="I29">
        <f>VLOOKUP(D29,WLReference!$A$2:$B$258,2,FALSE)</f>
        <v>26</v>
      </c>
      <c r="K29" s="11">
        <v>2456.1873209999999</v>
      </c>
      <c r="L29">
        <v>59.265000000000001</v>
      </c>
      <c r="M29">
        <v>2</v>
      </c>
      <c r="U29" t="s">
        <v>12</v>
      </c>
      <c r="V29" t="s">
        <v>23</v>
      </c>
      <c r="W29">
        <v>2</v>
      </c>
      <c r="X29">
        <v>1409.5972489999999</v>
      </c>
      <c r="AA29">
        <v>79.739999999999995</v>
      </c>
      <c r="AC29" t="s">
        <v>9</v>
      </c>
      <c r="AD29" t="s">
        <v>22</v>
      </c>
      <c r="AE29">
        <v>3</v>
      </c>
      <c r="AF29">
        <v>1420.5032200000001</v>
      </c>
      <c r="AG29">
        <v>75.760000000000005</v>
      </c>
      <c r="AH29">
        <v>56.61</v>
      </c>
      <c r="AI29">
        <v>40.700000000000003</v>
      </c>
      <c r="AK29" t="s">
        <v>10</v>
      </c>
      <c r="AL29" t="s">
        <v>22</v>
      </c>
      <c r="AM29">
        <v>2</v>
      </c>
      <c r="AN29">
        <v>2023.1406999999999</v>
      </c>
      <c r="AQ29">
        <v>77.709999999999994</v>
      </c>
    </row>
    <row r="30" spans="1:43" x14ac:dyDescent="0.25">
      <c r="A30" t="s">
        <v>9</v>
      </c>
      <c r="B30" t="s">
        <v>22</v>
      </c>
      <c r="C30">
        <v>3</v>
      </c>
      <c r="D30">
        <v>1420.5032200000001</v>
      </c>
      <c r="E30">
        <v>75.760000000000005</v>
      </c>
      <c r="F30">
        <v>56.61</v>
      </c>
      <c r="G30">
        <v>40.700000000000003</v>
      </c>
      <c r="I30">
        <f>VLOOKUP(D30,WLReference!$A$2:$B$258,2,FALSE)</f>
        <v>233</v>
      </c>
      <c r="K30" s="11">
        <v>2353.8462319999999</v>
      </c>
      <c r="L30">
        <v>90.165000000000006</v>
      </c>
      <c r="M30">
        <v>2</v>
      </c>
      <c r="U30" t="s">
        <v>12</v>
      </c>
      <c r="V30" t="s">
        <v>23</v>
      </c>
      <c r="W30">
        <v>2</v>
      </c>
      <c r="X30">
        <v>1700.000284</v>
      </c>
      <c r="AA30">
        <v>79.489999999999995</v>
      </c>
      <c r="AC30" t="s">
        <v>9</v>
      </c>
      <c r="AD30" t="s">
        <v>22</v>
      </c>
      <c r="AE30">
        <v>3</v>
      </c>
      <c r="AF30">
        <v>2376.6990970000002</v>
      </c>
      <c r="AG30">
        <v>48.2</v>
      </c>
      <c r="AH30">
        <v>62.17</v>
      </c>
      <c r="AI30">
        <v>75.739999999999995</v>
      </c>
      <c r="AK30" t="s">
        <v>10</v>
      </c>
      <c r="AL30" t="s">
        <v>22</v>
      </c>
      <c r="AM30">
        <v>2</v>
      </c>
      <c r="AN30">
        <v>1462.948523</v>
      </c>
      <c r="AQ30">
        <v>77.58</v>
      </c>
    </row>
    <row r="31" spans="1:43" x14ac:dyDescent="0.25">
      <c r="A31" t="s">
        <v>9</v>
      </c>
      <c r="B31" t="s">
        <v>22</v>
      </c>
      <c r="C31">
        <v>3</v>
      </c>
      <c r="D31">
        <v>2376.6990970000002</v>
      </c>
      <c r="E31">
        <v>48.2</v>
      </c>
      <c r="F31">
        <v>62.17</v>
      </c>
      <c r="G31">
        <v>75.739999999999995</v>
      </c>
      <c r="I31">
        <f>VLOOKUP(D31,WLReference!$A$2:$B$258,2,FALSE)</f>
        <v>25</v>
      </c>
      <c r="K31" s="11">
        <v>1468.800315</v>
      </c>
      <c r="L31">
        <v>65.14</v>
      </c>
      <c r="M31">
        <v>2</v>
      </c>
      <c r="U31" t="s">
        <v>12</v>
      </c>
      <c r="V31" t="s">
        <v>23</v>
      </c>
      <c r="W31">
        <v>2</v>
      </c>
      <c r="X31">
        <v>2006.557587</v>
      </c>
      <c r="AA31">
        <v>77.930000000000007</v>
      </c>
      <c r="AC31" t="s">
        <v>9</v>
      </c>
      <c r="AD31" t="s">
        <v>22</v>
      </c>
      <c r="AE31">
        <v>3</v>
      </c>
      <c r="AF31">
        <v>2147.3685829999999</v>
      </c>
      <c r="AG31">
        <v>74.430000000000007</v>
      </c>
      <c r="AH31">
        <v>37.432000000000002</v>
      </c>
      <c r="AI31">
        <v>51.29</v>
      </c>
      <c r="AK31" t="s">
        <v>10</v>
      </c>
      <c r="AL31" t="s">
        <v>22</v>
      </c>
      <c r="AM31">
        <v>2</v>
      </c>
      <c r="AN31">
        <v>2384.415649</v>
      </c>
      <c r="AQ31">
        <v>73.36</v>
      </c>
    </row>
    <row r="32" spans="1:43" x14ac:dyDescent="0.25">
      <c r="A32" t="s">
        <v>9</v>
      </c>
      <c r="B32" t="s">
        <v>22</v>
      </c>
      <c r="C32">
        <v>3</v>
      </c>
      <c r="D32">
        <v>2147.3685829999999</v>
      </c>
      <c r="E32">
        <v>74.430000000000007</v>
      </c>
      <c r="F32">
        <v>37.432000000000002</v>
      </c>
      <c r="G32">
        <v>51.29</v>
      </c>
      <c r="I32">
        <f>VLOOKUP(D32,WLReference!$A$2:$B$258,2,FALSE)</f>
        <v>58</v>
      </c>
      <c r="K32" s="11">
        <v>2179.2286370000002</v>
      </c>
      <c r="L32">
        <v>76.430000000000007</v>
      </c>
      <c r="M32">
        <v>2</v>
      </c>
      <c r="U32" t="s">
        <v>12</v>
      </c>
      <c r="V32" t="s">
        <v>23</v>
      </c>
      <c r="W32">
        <v>2</v>
      </c>
      <c r="X32">
        <v>1958.400224</v>
      </c>
      <c r="AA32">
        <v>77.47</v>
      </c>
      <c r="AC32" t="s">
        <v>9</v>
      </c>
      <c r="AD32" t="s">
        <v>22</v>
      </c>
      <c r="AE32">
        <v>3</v>
      </c>
      <c r="AF32">
        <v>2051.396843</v>
      </c>
      <c r="AG32">
        <v>58.34</v>
      </c>
      <c r="AH32">
        <v>54.597000000000001</v>
      </c>
      <c r="AI32">
        <v>74.209999999999994</v>
      </c>
      <c r="AK32" t="s">
        <v>10</v>
      </c>
      <c r="AL32" t="s">
        <v>22</v>
      </c>
      <c r="AM32">
        <v>2</v>
      </c>
      <c r="AN32">
        <v>2415.7895229999999</v>
      </c>
      <c r="AQ32">
        <v>72.010000000000005</v>
      </c>
    </row>
    <row r="33" spans="1:43" x14ac:dyDescent="0.25">
      <c r="A33" t="s">
        <v>9</v>
      </c>
      <c r="B33" t="s">
        <v>22</v>
      </c>
      <c r="C33">
        <v>3</v>
      </c>
      <c r="D33">
        <v>2051.396843</v>
      </c>
      <c r="E33">
        <v>58.34</v>
      </c>
      <c r="F33">
        <v>54.597000000000001</v>
      </c>
      <c r="G33">
        <v>74.209999999999994</v>
      </c>
      <c r="I33">
        <f>VLOOKUP(D33,WLReference!$A$2:$B$258,2,FALSE)</f>
        <v>74</v>
      </c>
      <c r="K33" s="11">
        <v>2128.6958209999998</v>
      </c>
      <c r="L33">
        <v>70.704999999999998</v>
      </c>
      <c r="M33">
        <v>2</v>
      </c>
      <c r="U33" t="s">
        <v>12</v>
      </c>
      <c r="V33" t="s">
        <v>23</v>
      </c>
      <c r="W33">
        <v>2</v>
      </c>
      <c r="X33">
        <v>2346.3259600000001</v>
      </c>
      <c r="AA33">
        <v>76.27</v>
      </c>
      <c r="AC33" t="s">
        <v>9</v>
      </c>
      <c r="AD33" t="s">
        <v>22</v>
      </c>
      <c r="AE33">
        <v>3</v>
      </c>
      <c r="AF33">
        <v>2392.1824710000001</v>
      </c>
      <c r="AG33">
        <v>35.75</v>
      </c>
      <c r="AH33">
        <v>49.31</v>
      </c>
      <c r="AI33">
        <v>74.150000000000006</v>
      </c>
      <c r="AK33" t="s">
        <v>10</v>
      </c>
      <c r="AL33" t="s">
        <v>22</v>
      </c>
      <c r="AM33">
        <v>2</v>
      </c>
      <c r="AN33">
        <v>2116.4266859999998</v>
      </c>
      <c r="AQ33">
        <v>71.72</v>
      </c>
    </row>
    <row r="34" spans="1:43" x14ac:dyDescent="0.25">
      <c r="A34" t="s">
        <v>9</v>
      </c>
      <c r="B34" t="s">
        <v>22</v>
      </c>
      <c r="C34">
        <v>3</v>
      </c>
      <c r="D34">
        <v>2392.1824710000001</v>
      </c>
      <c r="E34">
        <v>35.75</v>
      </c>
      <c r="F34">
        <v>49.31</v>
      </c>
      <c r="G34">
        <v>74.150000000000006</v>
      </c>
      <c r="I34">
        <f>VLOOKUP(D34,WLReference!$A$2:$B$258,2,FALSE)</f>
        <v>23</v>
      </c>
      <c r="K34" s="11">
        <v>2423.7624219999998</v>
      </c>
      <c r="L34">
        <v>51.814999999999998</v>
      </c>
      <c r="M34">
        <v>2</v>
      </c>
      <c r="U34" t="s">
        <v>12</v>
      </c>
      <c r="V34" t="s">
        <v>23</v>
      </c>
      <c r="W34">
        <v>2</v>
      </c>
      <c r="X34">
        <v>1669.091199</v>
      </c>
      <c r="AA34">
        <v>72.88</v>
      </c>
      <c r="AC34" t="s">
        <v>9</v>
      </c>
      <c r="AD34" t="s">
        <v>22</v>
      </c>
      <c r="AE34">
        <v>3</v>
      </c>
      <c r="AF34">
        <v>2361.4148660000001</v>
      </c>
      <c r="AG34">
        <v>32.08</v>
      </c>
      <c r="AH34">
        <v>65.906999999999996</v>
      </c>
      <c r="AI34">
        <v>72.209999999999994</v>
      </c>
      <c r="AK34" t="s">
        <v>10</v>
      </c>
      <c r="AL34" t="s">
        <v>22</v>
      </c>
      <c r="AM34">
        <v>2</v>
      </c>
      <c r="AN34">
        <v>2400.0000570000002</v>
      </c>
      <c r="AQ34">
        <v>69.16</v>
      </c>
    </row>
    <row r="35" spans="1:43" x14ac:dyDescent="0.25">
      <c r="A35" t="s">
        <v>9</v>
      </c>
      <c r="B35" t="s">
        <v>22</v>
      </c>
      <c r="C35">
        <v>3</v>
      </c>
      <c r="D35">
        <v>2361.4148660000001</v>
      </c>
      <c r="E35">
        <v>32.08</v>
      </c>
      <c r="F35">
        <v>65.906999999999996</v>
      </c>
      <c r="G35">
        <v>72.209999999999994</v>
      </c>
      <c r="I35">
        <f>VLOOKUP(D35,WLReference!$A$2:$B$258,2,FALSE)</f>
        <v>27</v>
      </c>
      <c r="K35" s="11">
        <v>2001.09013</v>
      </c>
      <c r="L35">
        <v>80.215000000000003</v>
      </c>
      <c r="M35">
        <v>2</v>
      </c>
      <c r="U35" t="s">
        <v>12</v>
      </c>
      <c r="V35" t="s">
        <v>23</v>
      </c>
      <c r="W35">
        <v>2</v>
      </c>
      <c r="X35">
        <v>1635.635039</v>
      </c>
      <c r="AA35">
        <v>70.41</v>
      </c>
      <c r="AC35" t="s">
        <v>9</v>
      </c>
      <c r="AD35" t="s">
        <v>22</v>
      </c>
      <c r="AE35">
        <v>3</v>
      </c>
      <c r="AF35">
        <v>2166.3718370000001</v>
      </c>
      <c r="AG35">
        <v>71.7</v>
      </c>
      <c r="AH35">
        <v>12.451000000000001</v>
      </c>
      <c r="AI35">
        <v>57.73</v>
      </c>
      <c r="AK35" t="s">
        <v>10</v>
      </c>
      <c r="AL35" t="s">
        <v>22</v>
      </c>
      <c r="AM35">
        <v>2</v>
      </c>
      <c r="AN35">
        <v>2407.8689060000002</v>
      </c>
      <c r="AQ35">
        <v>98.98</v>
      </c>
    </row>
    <row r="36" spans="1:43" x14ac:dyDescent="0.25">
      <c r="A36" t="s">
        <v>9</v>
      </c>
      <c r="B36" t="s">
        <v>22</v>
      </c>
      <c r="C36">
        <v>3</v>
      </c>
      <c r="D36">
        <v>2166.3718370000001</v>
      </c>
      <c r="E36">
        <v>71.7</v>
      </c>
      <c r="F36">
        <v>12.451000000000001</v>
      </c>
      <c r="G36">
        <v>57.73</v>
      </c>
      <c r="I36">
        <f>VLOOKUP(D36,WLReference!$A$2:$B$258,2,FALSE)</f>
        <v>55</v>
      </c>
      <c r="K36" s="11">
        <v>1632.0002959999999</v>
      </c>
      <c r="L36">
        <v>61.594999999999999</v>
      </c>
      <c r="M36">
        <v>2</v>
      </c>
      <c r="U36" t="s">
        <v>12</v>
      </c>
      <c r="V36" t="s">
        <v>23</v>
      </c>
      <c r="W36">
        <v>2</v>
      </c>
      <c r="X36">
        <v>1953.1917149999999</v>
      </c>
      <c r="AA36">
        <v>69.489999999999995</v>
      </c>
      <c r="AC36" t="s">
        <v>9</v>
      </c>
      <c r="AD36" t="s">
        <v>22</v>
      </c>
      <c r="AE36">
        <v>3</v>
      </c>
      <c r="AF36">
        <v>2034.3492309999999</v>
      </c>
      <c r="AG36">
        <v>69.41</v>
      </c>
      <c r="AH36">
        <v>69.001000000000005</v>
      </c>
      <c r="AI36">
        <v>63.4</v>
      </c>
      <c r="AK36" t="s">
        <v>10</v>
      </c>
      <c r="AL36" t="s">
        <v>22</v>
      </c>
      <c r="AM36">
        <v>2</v>
      </c>
      <c r="AN36">
        <v>1428.794093</v>
      </c>
      <c r="AQ36">
        <v>68.14</v>
      </c>
    </row>
    <row r="37" spans="1:43" x14ac:dyDescent="0.25">
      <c r="A37" t="s">
        <v>9</v>
      </c>
      <c r="B37" t="s">
        <v>22</v>
      </c>
      <c r="C37">
        <v>3</v>
      </c>
      <c r="D37">
        <v>2034.3492309999999</v>
      </c>
      <c r="E37">
        <v>69.41</v>
      </c>
      <c r="F37">
        <v>69.001000000000005</v>
      </c>
      <c r="G37">
        <v>63.4</v>
      </c>
      <c r="I37">
        <f>VLOOKUP(D37,WLReference!$A$2:$B$258,2,FALSE)</f>
        <v>77</v>
      </c>
      <c r="K37" s="11">
        <v>1665.306413</v>
      </c>
      <c r="L37">
        <v>60.284999999999997</v>
      </c>
      <c r="M37">
        <v>2</v>
      </c>
      <c r="U37" t="s">
        <v>12</v>
      </c>
      <c r="V37" t="s">
        <v>23</v>
      </c>
      <c r="W37">
        <v>2</v>
      </c>
      <c r="X37">
        <v>1632.0002959999999</v>
      </c>
      <c r="AA37">
        <v>67.31</v>
      </c>
      <c r="AC37" t="s">
        <v>9</v>
      </c>
      <c r="AD37" t="s">
        <v>22</v>
      </c>
      <c r="AE37">
        <v>3</v>
      </c>
      <c r="AF37">
        <v>2423.7624219999998</v>
      </c>
      <c r="AG37">
        <v>67.099999999999994</v>
      </c>
      <c r="AH37">
        <v>28.706</v>
      </c>
      <c r="AI37">
        <v>39.96</v>
      </c>
      <c r="AK37" t="s">
        <v>10</v>
      </c>
      <c r="AL37" t="s">
        <v>22</v>
      </c>
      <c r="AM37">
        <v>2</v>
      </c>
      <c r="AN37">
        <v>2028.729484</v>
      </c>
      <c r="AQ37">
        <v>68.11</v>
      </c>
    </row>
    <row r="38" spans="1:43" x14ac:dyDescent="0.25">
      <c r="A38" t="s">
        <v>9</v>
      </c>
      <c r="B38" t="s">
        <v>22</v>
      </c>
      <c r="C38">
        <v>3</v>
      </c>
      <c r="D38">
        <v>2423.7624219999998</v>
      </c>
      <c r="E38">
        <v>67.099999999999994</v>
      </c>
      <c r="F38">
        <v>28.706</v>
      </c>
      <c r="G38">
        <v>39.96</v>
      </c>
      <c r="I38">
        <f>VLOOKUP(D38,WLReference!$A$2:$B$258,2,FALSE)</f>
        <v>19</v>
      </c>
      <c r="K38" s="11">
        <v>1696.074188</v>
      </c>
      <c r="L38">
        <v>88.41</v>
      </c>
      <c r="M38">
        <v>2</v>
      </c>
      <c r="U38" t="s">
        <v>12</v>
      </c>
      <c r="V38" t="s">
        <v>23</v>
      </c>
      <c r="W38">
        <v>2</v>
      </c>
      <c r="X38">
        <v>1468.800315</v>
      </c>
      <c r="AA38">
        <v>66.83</v>
      </c>
      <c r="AC38" t="s">
        <v>9</v>
      </c>
      <c r="AD38" t="s">
        <v>22</v>
      </c>
      <c r="AE38">
        <v>3</v>
      </c>
      <c r="AF38">
        <v>2006.557587</v>
      </c>
      <c r="AG38">
        <v>62.08</v>
      </c>
      <c r="AH38">
        <v>9.1620000000000008</v>
      </c>
      <c r="AI38">
        <v>66.959999999999994</v>
      </c>
      <c r="AK38" t="s">
        <v>10</v>
      </c>
      <c r="AL38" t="s">
        <v>22</v>
      </c>
      <c r="AM38">
        <v>2</v>
      </c>
      <c r="AN38">
        <v>2431.7881219999999</v>
      </c>
      <c r="AQ38">
        <v>67.02</v>
      </c>
    </row>
    <row r="39" spans="1:43" x14ac:dyDescent="0.25">
      <c r="A39" t="s">
        <v>9</v>
      </c>
      <c r="B39" t="s">
        <v>22</v>
      </c>
      <c r="C39">
        <v>3</v>
      </c>
      <c r="D39">
        <v>2006.557587</v>
      </c>
      <c r="E39">
        <v>62.08</v>
      </c>
      <c r="F39">
        <v>9.1620000000000008</v>
      </c>
      <c r="G39">
        <v>66.959999999999994</v>
      </c>
      <c r="I39">
        <f>VLOOKUP(D39,WLReference!$A$2:$B$258,2,FALSE)</f>
        <v>82</v>
      </c>
      <c r="K39" s="11">
        <v>1471.743802</v>
      </c>
      <c r="L39">
        <v>70.45</v>
      </c>
      <c r="M39">
        <v>2</v>
      </c>
      <c r="U39" t="s">
        <v>12</v>
      </c>
      <c r="V39" t="s">
        <v>23</v>
      </c>
      <c r="W39">
        <v>2</v>
      </c>
      <c r="X39">
        <v>1995.6523870000001</v>
      </c>
      <c r="AA39">
        <v>65.12</v>
      </c>
      <c r="AC39" t="s">
        <v>9</v>
      </c>
      <c r="AD39" t="s">
        <v>22</v>
      </c>
      <c r="AE39">
        <v>3</v>
      </c>
      <c r="AF39">
        <v>2415.7895229999999</v>
      </c>
      <c r="AG39">
        <v>55.82</v>
      </c>
      <c r="AH39">
        <v>25.757000000000001</v>
      </c>
      <c r="AI39">
        <v>66.599999999999994</v>
      </c>
      <c r="AK39" t="s">
        <v>10</v>
      </c>
      <c r="AL39" t="s">
        <v>22</v>
      </c>
      <c r="AM39">
        <v>2</v>
      </c>
      <c r="AN39">
        <v>1465.868579</v>
      </c>
      <c r="AQ39">
        <v>66.83</v>
      </c>
    </row>
    <row r="40" spans="1:43" x14ac:dyDescent="0.25">
      <c r="A40" t="s">
        <v>9</v>
      </c>
      <c r="B40" t="s">
        <v>22</v>
      </c>
      <c r="C40">
        <v>3</v>
      </c>
      <c r="D40">
        <v>2415.7895229999999</v>
      </c>
      <c r="E40">
        <v>55.82</v>
      </c>
      <c r="F40">
        <v>25.757000000000001</v>
      </c>
      <c r="G40">
        <v>66.599999999999994</v>
      </c>
      <c r="I40">
        <f>VLOOKUP(D40,WLReference!$A$2:$B$258,2,FALSE)</f>
        <v>20</v>
      </c>
      <c r="K40" s="11">
        <v>1700.000284</v>
      </c>
      <c r="L40">
        <v>74.03</v>
      </c>
      <c r="M40">
        <v>2</v>
      </c>
      <c r="U40" t="s">
        <v>12</v>
      </c>
      <c r="V40" t="s">
        <v>23</v>
      </c>
      <c r="W40">
        <v>2</v>
      </c>
      <c r="X40">
        <v>1471.743802</v>
      </c>
      <c r="AA40">
        <v>64.290000000000006</v>
      </c>
      <c r="AC40" t="s">
        <v>9</v>
      </c>
      <c r="AD40" t="s">
        <v>22</v>
      </c>
      <c r="AE40">
        <v>3</v>
      </c>
      <c r="AF40">
        <v>1365.0560840000001</v>
      </c>
      <c r="AG40">
        <v>38.97</v>
      </c>
      <c r="AH40">
        <v>66.337000000000003</v>
      </c>
      <c r="AI40">
        <v>41.46</v>
      </c>
      <c r="AK40" t="s">
        <v>10</v>
      </c>
      <c r="AL40" t="s">
        <v>22</v>
      </c>
      <c r="AM40">
        <v>2</v>
      </c>
      <c r="AN40">
        <v>2376.6990970000002</v>
      </c>
      <c r="AQ40">
        <v>66.2</v>
      </c>
    </row>
    <row r="41" spans="1:43" x14ac:dyDescent="0.25">
      <c r="A41" t="s">
        <v>9</v>
      </c>
      <c r="B41" t="s">
        <v>22</v>
      </c>
      <c r="C41">
        <v>3</v>
      </c>
      <c r="D41">
        <v>1365.0560840000001</v>
      </c>
      <c r="E41">
        <v>38.97</v>
      </c>
      <c r="F41">
        <v>66.337000000000003</v>
      </c>
      <c r="G41">
        <v>41.46</v>
      </c>
      <c r="I41">
        <f>VLOOKUP(D41,WLReference!$A$2:$B$258,2,FALSE)</f>
        <v>254</v>
      </c>
      <c r="K41" s="11">
        <v>2302.1944579999999</v>
      </c>
      <c r="L41">
        <v>21.574999999999999</v>
      </c>
      <c r="M41">
        <v>2</v>
      </c>
      <c r="U41" t="s">
        <v>12</v>
      </c>
      <c r="V41" t="s">
        <v>23</v>
      </c>
      <c r="W41">
        <v>2</v>
      </c>
      <c r="X41">
        <v>1412.308012</v>
      </c>
      <c r="AA41">
        <v>64.11</v>
      </c>
      <c r="AC41" t="s">
        <v>9</v>
      </c>
      <c r="AD41" t="s">
        <v>22</v>
      </c>
      <c r="AE41">
        <v>3</v>
      </c>
      <c r="AF41">
        <v>2122.5435240000002</v>
      </c>
      <c r="AG41">
        <v>65.41</v>
      </c>
      <c r="AH41">
        <v>52.387999999999998</v>
      </c>
      <c r="AI41">
        <v>65.84</v>
      </c>
      <c r="AK41" t="s">
        <v>10</v>
      </c>
      <c r="AL41" t="s">
        <v>22</v>
      </c>
      <c r="AM41">
        <v>2</v>
      </c>
      <c r="AN41">
        <v>2423.7624219999998</v>
      </c>
      <c r="AQ41">
        <v>63.67</v>
      </c>
    </row>
    <row r="42" spans="1:43" x14ac:dyDescent="0.25">
      <c r="A42" t="s">
        <v>9</v>
      </c>
      <c r="B42" t="s">
        <v>22</v>
      </c>
      <c r="C42">
        <v>3</v>
      </c>
      <c r="D42">
        <v>2122.5435240000002</v>
      </c>
      <c r="E42">
        <v>65.41</v>
      </c>
      <c r="F42">
        <v>52.387999999999998</v>
      </c>
      <c r="G42">
        <v>65.84</v>
      </c>
      <c r="I42">
        <f>VLOOKUP(D42,WLReference!$A$2:$B$258,2,FALSE)</f>
        <v>62</v>
      </c>
      <c r="K42" s="11">
        <v>2051.396843</v>
      </c>
      <c r="L42">
        <v>78.37</v>
      </c>
      <c r="M42">
        <v>2</v>
      </c>
      <c r="U42" t="s">
        <v>13</v>
      </c>
      <c r="V42" t="s">
        <v>23</v>
      </c>
      <c r="W42">
        <v>3</v>
      </c>
      <c r="X42">
        <v>2172.7812180000001</v>
      </c>
      <c r="Y42">
        <v>100</v>
      </c>
      <c r="Z42">
        <v>72.58</v>
      </c>
      <c r="AA42">
        <v>84.67</v>
      </c>
      <c r="AC42" t="s">
        <v>11</v>
      </c>
      <c r="AD42" t="s">
        <v>23</v>
      </c>
      <c r="AE42">
        <v>3</v>
      </c>
      <c r="AF42">
        <v>2361.4148660000001</v>
      </c>
      <c r="AG42">
        <v>19.403400000000001</v>
      </c>
      <c r="AH42">
        <v>100</v>
      </c>
      <c r="AI42">
        <v>94.64</v>
      </c>
      <c r="AK42" t="s">
        <v>12</v>
      </c>
      <c r="AL42" t="s">
        <v>23</v>
      </c>
      <c r="AM42">
        <v>2</v>
      </c>
      <c r="AN42">
        <v>1696.074188</v>
      </c>
      <c r="AQ42">
        <v>100</v>
      </c>
    </row>
    <row r="43" spans="1:43" x14ac:dyDescent="0.25">
      <c r="A43" t="s">
        <v>11</v>
      </c>
      <c r="B43" t="s">
        <v>23</v>
      </c>
      <c r="C43">
        <v>3</v>
      </c>
      <c r="D43">
        <v>2361.4148660000001</v>
      </c>
      <c r="E43">
        <v>19.403400000000001</v>
      </c>
      <c r="F43">
        <v>100</v>
      </c>
      <c r="G43">
        <v>94.64</v>
      </c>
      <c r="I43">
        <f>VLOOKUP(D43,WLReference!$A$2:$B$258,2,FALSE)</f>
        <v>27</v>
      </c>
      <c r="K43" s="11">
        <v>2407.8689060000002</v>
      </c>
      <c r="L43">
        <v>87.925000000000011</v>
      </c>
      <c r="M43">
        <v>2</v>
      </c>
      <c r="U43" t="s">
        <v>13</v>
      </c>
      <c r="V43" t="s">
        <v>23</v>
      </c>
      <c r="W43">
        <v>3</v>
      </c>
      <c r="X43">
        <v>2160.0001579999998</v>
      </c>
      <c r="Y43">
        <v>90.88</v>
      </c>
      <c r="Z43">
        <v>57.15</v>
      </c>
      <c r="AA43">
        <v>86.77</v>
      </c>
      <c r="AC43" t="s">
        <v>11</v>
      </c>
      <c r="AD43" t="s">
        <v>23</v>
      </c>
      <c r="AE43">
        <v>3</v>
      </c>
      <c r="AF43">
        <v>2369.03233</v>
      </c>
      <c r="AG43">
        <v>27.109400000000001</v>
      </c>
      <c r="AH43">
        <v>90.78</v>
      </c>
      <c r="AI43">
        <v>68.86</v>
      </c>
      <c r="AK43" t="s">
        <v>12</v>
      </c>
      <c r="AL43" t="s">
        <v>23</v>
      </c>
      <c r="AM43">
        <v>2</v>
      </c>
      <c r="AN43">
        <v>2361.4148660000001</v>
      </c>
      <c r="AQ43">
        <v>97.8</v>
      </c>
    </row>
    <row r="44" spans="1:43" x14ac:dyDescent="0.25">
      <c r="A44" t="s">
        <v>11</v>
      </c>
      <c r="B44" t="s">
        <v>23</v>
      </c>
      <c r="C44">
        <v>3</v>
      </c>
      <c r="D44">
        <v>2369.03233</v>
      </c>
      <c r="E44">
        <v>27.109400000000001</v>
      </c>
      <c r="F44">
        <v>90.78</v>
      </c>
      <c r="G44">
        <v>68.86</v>
      </c>
      <c r="I44">
        <f>VLOOKUP(D44,WLReference!$A$2:$B$258,2,FALSE)</f>
        <v>26</v>
      </c>
      <c r="K44" s="11">
        <v>2006.557587</v>
      </c>
      <c r="L44">
        <v>72.444999999999993</v>
      </c>
      <c r="M44">
        <v>2</v>
      </c>
      <c r="U44" t="s">
        <v>13</v>
      </c>
      <c r="V44" t="s">
        <v>23</v>
      </c>
      <c r="W44">
        <v>3</v>
      </c>
      <c r="X44">
        <v>1922.5133229999999</v>
      </c>
      <c r="Y44">
        <v>37.46</v>
      </c>
      <c r="Z44">
        <v>90.56</v>
      </c>
      <c r="AA44">
        <v>58.23</v>
      </c>
      <c r="AC44" t="s">
        <v>11</v>
      </c>
      <c r="AD44" t="s">
        <v>23</v>
      </c>
      <c r="AE44">
        <v>3</v>
      </c>
      <c r="AF44">
        <v>2353.8462319999999</v>
      </c>
      <c r="AG44">
        <v>0.81710000000000005</v>
      </c>
      <c r="AH44">
        <v>88.18</v>
      </c>
      <c r="AI44">
        <v>90.65</v>
      </c>
      <c r="AK44" t="s">
        <v>12</v>
      </c>
      <c r="AL44" t="s">
        <v>23</v>
      </c>
      <c r="AM44">
        <v>2</v>
      </c>
      <c r="AN44">
        <v>2001.09013</v>
      </c>
      <c r="AQ44">
        <v>92.57</v>
      </c>
    </row>
    <row r="45" spans="1:43" x14ac:dyDescent="0.25">
      <c r="A45" t="s">
        <v>11</v>
      </c>
      <c r="B45" t="s">
        <v>23</v>
      </c>
      <c r="C45">
        <v>3</v>
      </c>
      <c r="D45">
        <v>2353.8462319999999</v>
      </c>
      <c r="E45">
        <v>0.81710000000000005</v>
      </c>
      <c r="F45">
        <v>88.18</v>
      </c>
      <c r="G45">
        <v>90.65</v>
      </c>
      <c r="I45">
        <f>VLOOKUP(D45,WLReference!$A$2:$B$258,2,FALSE)</f>
        <v>28</v>
      </c>
      <c r="K45" s="11">
        <v>2280.7454520000001</v>
      </c>
      <c r="L45">
        <v>37.369999999999997</v>
      </c>
      <c r="M45">
        <v>1</v>
      </c>
      <c r="U45" t="s">
        <v>13</v>
      </c>
      <c r="V45" t="s">
        <v>23</v>
      </c>
      <c r="W45">
        <v>3</v>
      </c>
      <c r="X45">
        <v>2166.3718370000001</v>
      </c>
      <c r="Y45">
        <v>90.04</v>
      </c>
      <c r="Z45">
        <v>52.41</v>
      </c>
      <c r="AA45">
        <v>67.75</v>
      </c>
      <c r="AC45" t="s">
        <v>11</v>
      </c>
      <c r="AD45" t="s">
        <v>23</v>
      </c>
      <c r="AE45">
        <v>3</v>
      </c>
      <c r="AF45">
        <v>2376.6990970000002</v>
      </c>
      <c r="AG45">
        <v>13.454800000000001</v>
      </c>
      <c r="AH45">
        <v>85.87</v>
      </c>
      <c r="AI45">
        <v>65.27</v>
      </c>
      <c r="AK45" t="s">
        <v>12</v>
      </c>
      <c r="AL45" t="s">
        <v>23</v>
      </c>
      <c r="AM45">
        <v>2</v>
      </c>
      <c r="AN45">
        <v>1692.1661839999999</v>
      </c>
      <c r="AQ45">
        <v>92.07</v>
      </c>
    </row>
    <row r="46" spans="1:43" x14ac:dyDescent="0.25">
      <c r="A46" t="s">
        <v>11</v>
      </c>
      <c r="B46" t="s">
        <v>23</v>
      </c>
      <c r="C46">
        <v>3</v>
      </c>
      <c r="D46">
        <v>2376.6990970000002</v>
      </c>
      <c r="E46">
        <v>13.454800000000001</v>
      </c>
      <c r="F46">
        <v>85.87</v>
      </c>
      <c r="G46">
        <v>65.27</v>
      </c>
      <c r="I46">
        <f>VLOOKUP(D46,WLReference!$A$2:$B$258,2,FALSE)</f>
        <v>25</v>
      </c>
      <c r="K46" s="11">
        <v>1628.3816710000001</v>
      </c>
      <c r="L46">
        <v>24.23</v>
      </c>
      <c r="M46">
        <v>1</v>
      </c>
      <c r="U46" t="s">
        <v>13</v>
      </c>
      <c r="V46" t="s">
        <v>23</v>
      </c>
      <c r="W46">
        <v>3</v>
      </c>
      <c r="X46">
        <v>2141.1080360000001</v>
      </c>
      <c r="Y46">
        <v>70.650000000000006</v>
      </c>
      <c r="Z46">
        <v>25.09</v>
      </c>
      <c r="AA46">
        <v>86.8</v>
      </c>
      <c r="AC46" t="s">
        <v>11</v>
      </c>
      <c r="AD46" t="s">
        <v>23</v>
      </c>
      <c r="AE46">
        <v>3</v>
      </c>
      <c r="AF46">
        <v>1696.074188</v>
      </c>
      <c r="AG46">
        <v>36.523400000000002</v>
      </c>
      <c r="AH46">
        <v>39.64</v>
      </c>
      <c r="AI46">
        <v>76.819999999999993</v>
      </c>
      <c r="AK46" t="s">
        <v>12</v>
      </c>
      <c r="AL46" t="s">
        <v>23</v>
      </c>
      <c r="AM46">
        <v>2</v>
      </c>
      <c r="AN46">
        <v>2353.8462319999999</v>
      </c>
      <c r="AQ46">
        <v>89.68</v>
      </c>
    </row>
    <row r="47" spans="1:43" x14ac:dyDescent="0.25">
      <c r="A47" t="s">
        <v>11</v>
      </c>
      <c r="B47" t="s">
        <v>23</v>
      </c>
      <c r="C47">
        <v>3</v>
      </c>
      <c r="D47">
        <v>1696.074188</v>
      </c>
      <c r="E47">
        <v>36.523400000000002</v>
      </c>
      <c r="F47">
        <v>39.64</v>
      </c>
      <c r="G47">
        <v>76.819999999999993</v>
      </c>
      <c r="I47">
        <f>VLOOKUP(D47,WLReference!$A$2:$B$258,2,FALSE)</f>
        <v>149</v>
      </c>
      <c r="K47" s="11">
        <v>1958.400224</v>
      </c>
      <c r="L47">
        <v>77.47</v>
      </c>
      <c r="M47">
        <v>1</v>
      </c>
      <c r="U47" t="s">
        <v>13</v>
      </c>
      <c r="V47" t="s">
        <v>23</v>
      </c>
      <c r="W47">
        <v>3</v>
      </c>
      <c r="X47">
        <v>2153.665849</v>
      </c>
      <c r="Y47">
        <v>85.05</v>
      </c>
      <c r="Z47">
        <v>29.24</v>
      </c>
      <c r="AA47">
        <v>80.319999999999993</v>
      </c>
      <c r="AC47" t="s">
        <v>11</v>
      </c>
      <c r="AD47" t="s">
        <v>23</v>
      </c>
      <c r="AE47">
        <v>3</v>
      </c>
      <c r="AF47">
        <v>2384.415649</v>
      </c>
      <c r="AG47">
        <v>17.911999999999999</v>
      </c>
      <c r="AH47">
        <v>76.62</v>
      </c>
      <c r="AI47">
        <v>57.03</v>
      </c>
      <c r="AK47" t="s">
        <v>12</v>
      </c>
      <c r="AL47" t="s">
        <v>23</v>
      </c>
      <c r="AM47">
        <v>2</v>
      </c>
      <c r="AN47">
        <v>1963.6365860000001</v>
      </c>
      <c r="AQ47">
        <v>83.6</v>
      </c>
    </row>
    <row r="48" spans="1:43" x14ac:dyDescent="0.25">
      <c r="A48" t="s">
        <v>11</v>
      </c>
      <c r="B48" t="s">
        <v>23</v>
      </c>
      <c r="C48">
        <v>3</v>
      </c>
      <c r="D48">
        <v>2384.415649</v>
      </c>
      <c r="E48">
        <v>17.911999999999999</v>
      </c>
      <c r="F48">
        <v>76.62</v>
      </c>
      <c r="G48">
        <v>57.03</v>
      </c>
      <c r="I48">
        <f>VLOOKUP(D48,WLReference!$A$2:$B$258,2,FALSE)</f>
        <v>24</v>
      </c>
      <c r="K48" s="11">
        <v>1460.0400770000001</v>
      </c>
      <c r="L48">
        <v>38.950000000000003</v>
      </c>
      <c r="M48">
        <v>1</v>
      </c>
      <c r="U48" t="s">
        <v>13</v>
      </c>
      <c r="V48" t="s">
        <v>23</v>
      </c>
      <c r="W48">
        <v>3</v>
      </c>
      <c r="X48">
        <v>2147.3685829999999</v>
      </c>
      <c r="Y48">
        <v>76.17</v>
      </c>
      <c r="Z48">
        <v>35.049999999999997</v>
      </c>
      <c r="AA48">
        <v>84.49</v>
      </c>
      <c r="AC48" t="s">
        <v>11</v>
      </c>
      <c r="AD48" t="s">
        <v>23</v>
      </c>
      <c r="AE48">
        <v>3</v>
      </c>
      <c r="AF48">
        <v>2309.43406</v>
      </c>
      <c r="AG48">
        <v>60.608899999999998</v>
      </c>
      <c r="AH48">
        <v>70.77</v>
      </c>
      <c r="AI48">
        <v>16.28</v>
      </c>
      <c r="AK48" t="s">
        <v>12</v>
      </c>
      <c r="AL48" t="s">
        <v>23</v>
      </c>
      <c r="AM48">
        <v>2</v>
      </c>
      <c r="AN48">
        <v>2369.03233</v>
      </c>
      <c r="AQ48">
        <v>80.97</v>
      </c>
    </row>
    <row r="49" spans="1:43" x14ac:dyDescent="0.25">
      <c r="A49" t="s">
        <v>11</v>
      </c>
      <c r="B49" t="s">
        <v>23</v>
      </c>
      <c r="C49">
        <v>3</v>
      </c>
      <c r="D49">
        <v>2309.43406</v>
      </c>
      <c r="E49">
        <v>60.608899999999998</v>
      </c>
      <c r="F49">
        <v>70.77</v>
      </c>
      <c r="G49">
        <v>16.28</v>
      </c>
      <c r="I49">
        <f>VLOOKUP(D49,WLReference!$A$2:$B$258,2,FALSE)</f>
        <v>34</v>
      </c>
      <c r="K49" s="11">
        <v>1813.3335950000001</v>
      </c>
      <c r="L49">
        <v>51.39</v>
      </c>
      <c r="M49">
        <v>1</v>
      </c>
      <c r="U49" t="s">
        <v>13</v>
      </c>
      <c r="V49" t="s">
        <v>23</v>
      </c>
      <c r="W49">
        <v>3</v>
      </c>
      <c r="X49">
        <v>2179.2286370000002</v>
      </c>
      <c r="Y49">
        <v>82.61</v>
      </c>
      <c r="Z49">
        <v>69.34</v>
      </c>
      <c r="AA49">
        <v>75.09</v>
      </c>
      <c r="AC49" t="s">
        <v>11</v>
      </c>
      <c r="AD49" t="s">
        <v>23</v>
      </c>
      <c r="AE49">
        <v>3</v>
      </c>
      <c r="AF49">
        <v>1878.261115</v>
      </c>
      <c r="AG49">
        <v>27.1738</v>
      </c>
      <c r="AH49">
        <v>54.42</v>
      </c>
      <c r="AI49">
        <v>69.56</v>
      </c>
      <c r="AK49" t="s">
        <v>12</v>
      </c>
      <c r="AL49" t="s">
        <v>23</v>
      </c>
      <c r="AM49">
        <v>2</v>
      </c>
      <c r="AN49">
        <v>1409.5972489999999</v>
      </c>
      <c r="AQ49">
        <v>79.739999999999995</v>
      </c>
    </row>
    <row r="50" spans="1:43" x14ac:dyDescent="0.25">
      <c r="A50" t="s">
        <v>11</v>
      </c>
      <c r="B50" t="s">
        <v>23</v>
      </c>
      <c r="C50">
        <v>3</v>
      </c>
      <c r="D50">
        <v>1878.261115</v>
      </c>
      <c r="E50">
        <v>27.1738</v>
      </c>
      <c r="F50">
        <v>54.42</v>
      </c>
      <c r="G50">
        <v>69.56</v>
      </c>
      <c r="I50">
        <f>VLOOKUP(D50,WLReference!$A$2:$B$258,2,FALSE)</f>
        <v>107</v>
      </c>
      <c r="K50" s="11">
        <v>1495.7233269999999</v>
      </c>
      <c r="L50">
        <v>69.569999999999993</v>
      </c>
      <c r="M50">
        <v>1</v>
      </c>
      <c r="U50" t="s">
        <v>13</v>
      </c>
      <c r="V50" t="s">
        <v>23</v>
      </c>
      <c r="W50">
        <v>3</v>
      </c>
      <c r="X50">
        <v>2051.396843</v>
      </c>
      <c r="Y50">
        <v>31.4</v>
      </c>
      <c r="Z50">
        <v>41.06</v>
      </c>
      <c r="AA50">
        <v>82.53</v>
      </c>
      <c r="AC50" t="s">
        <v>11</v>
      </c>
      <c r="AD50" t="s">
        <v>23</v>
      </c>
      <c r="AE50">
        <v>3</v>
      </c>
      <c r="AF50">
        <v>2346.3259600000001</v>
      </c>
      <c r="AG50">
        <v>19.8324</v>
      </c>
      <c r="AH50">
        <v>41.23</v>
      </c>
      <c r="AI50">
        <v>69.540000000000006</v>
      </c>
      <c r="AK50" t="s">
        <v>12</v>
      </c>
      <c r="AL50" t="s">
        <v>23</v>
      </c>
      <c r="AM50">
        <v>2</v>
      </c>
      <c r="AN50">
        <v>1700.000284</v>
      </c>
      <c r="AQ50">
        <v>79.489999999999995</v>
      </c>
    </row>
    <row r="51" spans="1:43" x14ac:dyDescent="0.25">
      <c r="A51" t="s">
        <v>11</v>
      </c>
      <c r="B51" t="s">
        <v>23</v>
      </c>
      <c r="C51">
        <v>3</v>
      </c>
      <c r="D51">
        <v>2346.3259600000001</v>
      </c>
      <c r="E51">
        <v>19.8324</v>
      </c>
      <c r="F51">
        <v>41.23</v>
      </c>
      <c r="G51">
        <v>69.540000000000006</v>
      </c>
      <c r="I51">
        <f>VLOOKUP(D51,WLReference!$A$2:$B$258,2,FALSE)</f>
        <v>29</v>
      </c>
      <c r="K51" s="11">
        <v>2040.0001990000001</v>
      </c>
      <c r="L51">
        <v>63.06</v>
      </c>
      <c r="M51">
        <v>1</v>
      </c>
      <c r="U51" t="s">
        <v>13</v>
      </c>
      <c r="V51" t="s">
        <v>23</v>
      </c>
      <c r="W51">
        <v>3</v>
      </c>
      <c r="X51">
        <v>1661.538753</v>
      </c>
      <c r="Y51">
        <v>82.04</v>
      </c>
      <c r="Z51">
        <v>59.95</v>
      </c>
      <c r="AA51">
        <v>59.21</v>
      </c>
      <c r="AC51" t="s">
        <v>11</v>
      </c>
      <c r="AD51" t="s">
        <v>23</v>
      </c>
      <c r="AE51">
        <v>3</v>
      </c>
      <c r="AF51">
        <v>2295.0001040000002</v>
      </c>
      <c r="AG51">
        <v>40.452399999999997</v>
      </c>
      <c r="AH51">
        <v>69.459999999999994</v>
      </c>
      <c r="AI51">
        <v>26</v>
      </c>
      <c r="AK51" t="s">
        <v>12</v>
      </c>
      <c r="AL51" t="s">
        <v>23</v>
      </c>
      <c r="AM51">
        <v>2</v>
      </c>
      <c r="AN51">
        <v>2006.557587</v>
      </c>
      <c r="AQ51">
        <v>77.930000000000007</v>
      </c>
    </row>
    <row r="52" spans="1:43" x14ac:dyDescent="0.25">
      <c r="A52" t="s">
        <v>11</v>
      </c>
      <c r="B52" t="s">
        <v>23</v>
      </c>
      <c r="C52">
        <v>3</v>
      </c>
      <c r="D52">
        <v>2295.0001040000002</v>
      </c>
      <c r="E52">
        <v>40.452399999999997</v>
      </c>
      <c r="F52">
        <v>69.459999999999994</v>
      </c>
      <c r="G52">
        <v>26</v>
      </c>
      <c r="I52">
        <f>VLOOKUP(D52,WLReference!$A$2:$B$258,2,FALSE)</f>
        <v>36</v>
      </c>
      <c r="K52" s="11">
        <v>1508.008525</v>
      </c>
      <c r="L52">
        <v>46.37</v>
      </c>
      <c r="M52">
        <v>1</v>
      </c>
      <c r="U52" t="s">
        <v>13</v>
      </c>
      <c r="V52" t="s">
        <v>23</v>
      </c>
      <c r="W52">
        <v>3</v>
      </c>
      <c r="X52">
        <v>1669.091199</v>
      </c>
      <c r="Y52">
        <v>81.03</v>
      </c>
      <c r="Z52">
        <v>36.229999999999997</v>
      </c>
      <c r="AA52">
        <v>76.790000000000006</v>
      </c>
      <c r="AC52" t="s">
        <v>11</v>
      </c>
      <c r="AD52" t="s">
        <v>23</v>
      </c>
      <c r="AE52">
        <v>3</v>
      </c>
      <c r="AF52">
        <v>1700.000284</v>
      </c>
      <c r="AG52">
        <v>20.065300000000001</v>
      </c>
      <c r="AH52">
        <v>52.81</v>
      </c>
      <c r="AI52">
        <v>68.569999999999993</v>
      </c>
      <c r="AK52" t="s">
        <v>12</v>
      </c>
      <c r="AL52" t="s">
        <v>23</v>
      </c>
      <c r="AM52">
        <v>2</v>
      </c>
      <c r="AN52">
        <v>1958.400224</v>
      </c>
      <c r="AQ52">
        <v>77.47</v>
      </c>
    </row>
    <row r="53" spans="1:43" x14ac:dyDescent="0.25">
      <c r="A53" t="s">
        <v>11</v>
      </c>
      <c r="B53" t="s">
        <v>23</v>
      </c>
      <c r="C53">
        <v>3</v>
      </c>
      <c r="D53">
        <v>1700.000284</v>
      </c>
      <c r="E53">
        <v>20.065300000000001</v>
      </c>
      <c r="F53">
        <v>52.81</v>
      </c>
      <c r="G53">
        <v>68.569999999999993</v>
      </c>
      <c r="I53">
        <f>VLOOKUP(D53,WLReference!$A$2:$B$258,2,FALSE)</f>
        <v>148</v>
      </c>
      <c r="K53" s="11">
        <v>1995.6523870000001</v>
      </c>
      <c r="L53">
        <v>65.12</v>
      </c>
      <c r="M53">
        <v>1</v>
      </c>
      <c r="U53" t="s">
        <v>13</v>
      </c>
      <c r="V53" t="s">
        <v>23</v>
      </c>
      <c r="W53">
        <v>3</v>
      </c>
      <c r="X53">
        <v>2134.8838879999998</v>
      </c>
      <c r="Y53">
        <v>50.39</v>
      </c>
      <c r="Z53">
        <v>49.25</v>
      </c>
      <c r="AA53">
        <v>80.8</v>
      </c>
      <c r="AC53" t="s">
        <v>11</v>
      </c>
      <c r="AD53" t="s">
        <v>23</v>
      </c>
      <c r="AE53">
        <v>3</v>
      </c>
      <c r="AF53">
        <v>1711.8883940000001</v>
      </c>
      <c r="AG53">
        <v>35.540399999999998</v>
      </c>
      <c r="AH53">
        <v>67.09</v>
      </c>
      <c r="AI53">
        <v>12.47</v>
      </c>
      <c r="AK53" t="s">
        <v>12</v>
      </c>
      <c r="AL53" t="s">
        <v>23</v>
      </c>
      <c r="AM53">
        <v>2</v>
      </c>
      <c r="AN53">
        <v>2346.3259600000001</v>
      </c>
      <c r="AQ53">
        <v>76.27</v>
      </c>
    </row>
    <row r="54" spans="1:43" x14ac:dyDescent="0.25">
      <c r="A54" t="s">
        <v>11</v>
      </c>
      <c r="B54" t="s">
        <v>23</v>
      </c>
      <c r="C54">
        <v>3</v>
      </c>
      <c r="D54">
        <v>1711.8883940000001</v>
      </c>
      <c r="E54">
        <v>35.540399999999998</v>
      </c>
      <c r="F54">
        <v>67.09</v>
      </c>
      <c r="G54">
        <v>12.47</v>
      </c>
      <c r="I54">
        <f>VLOOKUP(D54,WLReference!$A$2:$B$258,2,FALSE)</f>
        <v>145</v>
      </c>
      <c r="K54" s="11">
        <v>1420.5032200000001</v>
      </c>
      <c r="L54">
        <v>40.700000000000003</v>
      </c>
      <c r="M54">
        <v>1</v>
      </c>
      <c r="U54" t="s">
        <v>13</v>
      </c>
      <c r="V54" t="s">
        <v>23</v>
      </c>
      <c r="W54">
        <v>3</v>
      </c>
      <c r="X54">
        <v>1628.3816710000001</v>
      </c>
      <c r="Y54">
        <v>79.819999999999993</v>
      </c>
      <c r="Z54">
        <v>41.35</v>
      </c>
      <c r="AA54">
        <v>24.23</v>
      </c>
      <c r="AC54" t="s">
        <v>11</v>
      </c>
      <c r="AD54" t="s">
        <v>23</v>
      </c>
      <c r="AE54">
        <v>3</v>
      </c>
      <c r="AF54">
        <v>2302.1944579999999</v>
      </c>
      <c r="AG54">
        <v>43.359900000000003</v>
      </c>
      <c r="AH54">
        <v>66.959999999999994</v>
      </c>
      <c r="AI54">
        <v>29.82</v>
      </c>
      <c r="AK54" t="s">
        <v>12</v>
      </c>
      <c r="AL54" t="s">
        <v>23</v>
      </c>
      <c r="AM54">
        <v>2</v>
      </c>
      <c r="AN54">
        <v>1669.091199</v>
      </c>
      <c r="AQ54">
        <v>72.88</v>
      </c>
    </row>
    <row r="55" spans="1:43" x14ac:dyDescent="0.25">
      <c r="A55" t="s">
        <v>11</v>
      </c>
      <c r="B55" t="s">
        <v>23</v>
      </c>
      <c r="C55">
        <v>3</v>
      </c>
      <c r="D55">
        <v>2302.1944579999999</v>
      </c>
      <c r="E55">
        <v>43.359900000000003</v>
      </c>
      <c r="F55">
        <v>66.959999999999994</v>
      </c>
      <c r="G55">
        <v>29.82</v>
      </c>
      <c r="I55">
        <f>VLOOKUP(D55,WLReference!$A$2:$B$258,2,FALSE)</f>
        <v>35</v>
      </c>
      <c r="K55" s="11">
        <v>1752.7449039999999</v>
      </c>
      <c r="L55">
        <v>74.010000000000005</v>
      </c>
      <c r="M55">
        <v>1</v>
      </c>
      <c r="U55" t="s">
        <v>13</v>
      </c>
      <c r="V55" t="s">
        <v>23</v>
      </c>
      <c r="W55">
        <v>3</v>
      </c>
      <c r="X55">
        <v>1632.0002959999999</v>
      </c>
      <c r="Y55">
        <v>78.95</v>
      </c>
      <c r="Z55">
        <v>25.98</v>
      </c>
      <c r="AA55">
        <v>55.88</v>
      </c>
      <c r="AC55" t="s">
        <v>11</v>
      </c>
      <c r="AD55" t="s">
        <v>23</v>
      </c>
      <c r="AE55">
        <v>3</v>
      </c>
      <c r="AF55">
        <v>2316.7193379999999</v>
      </c>
      <c r="AG55">
        <v>56.410200000000003</v>
      </c>
      <c r="AH55">
        <v>66.42</v>
      </c>
      <c r="AI55">
        <v>24.67</v>
      </c>
      <c r="AK55" t="s">
        <v>12</v>
      </c>
      <c r="AL55" t="s">
        <v>23</v>
      </c>
      <c r="AM55">
        <v>2</v>
      </c>
      <c r="AN55">
        <v>1635.635039</v>
      </c>
      <c r="AQ55">
        <v>70.41</v>
      </c>
    </row>
    <row r="56" spans="1:43" x14ac:dyDescent="0.25">
      <c r="A56" t="s">
        <v>11</v>
      </c>
      <c r="B56" t="s">
        <v>23</v>
      </c>
      <c r="C56">
        <v>3</v>
      </c>
      <c r="D56">
        <v>2316.7193379999999</v>
      </c>
      <c r="E56">
        <v>56.410200000000003</v>
      </c>
      <c r="F56">
        <v>66.42</v>
      </c>
      <c r="G56">
        <v>24.67</v>
      </c>
      <c r="I56">
        <f>VLOOKUP(D56,WLReference!$A$2:$B$258,2,FALSE)</f>
        <v>33</v>
      </c>
      <c r="K56" s="11">
        <v>1800.000264</v>
      </c>
      <c r="L56">
        <v>67.17</v>
      </c>
      <c r="M56">
        <v>1</v>
      </c>
      <c r="U56" t="s">
        <v>13</v>
      </c>
      <c r="V56" t="s">
        <v>23</v>
      </c>
      <c r="W56">
        <v>3</v>
      </c>
      <c r="X56">
        <v>1624.7790580000001</v>
      </c>
      <c r="Y56">
        <v>78.489999999999995</v>
      </c>
      <c r="Z56">
        <v>62.19</v>
      </c>
      <c r="AA56">
        <v>33.78</v>
      </c>
      <c r="AC56" t="s">
        <v>11</v>
      </c>
      <c r="AD56" t="s">
        <v>23</v>
      </c>
      <c r="AE56">
        <v>3</v>
      </c>
      <c r="AF56">
        <v>1984.8650809999999</v>
      </c>
      <c r="AG56">
        <v>65.8078</v>
      </c>
      <c r="AH56">
        <v>34.26</v>
      </c>
      <c r="AI56">
        <v>55.07</v>
      </c>
      <c r="AK56" t="s">
        <v>12</v>
      </c>
      <c r="AL56" t="s">
        <v>23</v>
      </c>
      <c r="AM56">
        <v>2</v>
      </c>
      <c r="AN56">
        <v>1953.1917149999999</v>
      </c>
      <c r="AQ56">
        <v>69.489999999999995</v>
      </c>
    </row>
    <row r="57" spans="1:43" x14ac:dyDescent="0.25">
      <c r="A57" t="s">
        <v>11</v>
      </c>
      <c r="B57" t="s">
        <v>23</v>
      </c>
      <c r="C57">
        <v>3</v>
      </c>
      <c r="D57">
        <v>1984.8650809999999</v>
      </c>
      <c r="E57">
        <v>65.8078</v>
      </c>
      <c r="F57">
        <v>34.26</v>
      </c>
      <c r="G57">
        <v>55.07</v>
      </c>
      <c r="I57">
        <f>VLOOKUP(D57,WLReference!$A$2:$B$258,2,FALSE)</f>
        <v>86</v>
      </c>
      <c r="K57" s="11">
        <v>2448.0000340000001</v>
      </c>
      <c r="L57">
        <v>49.58</v>
      </c>
      <c r="M57">
        <v>1</v>
      </c>
      <c r="U57" t="s">
        <v>13</v>
      </c>
      <c r="V57" t="s">
        <v>23</v>
      </c>
      <c r="W57">
        <v>3</v>
      </c>
      <c r="X57">
        <v>1593.0588700000001</v>
      </c>
      <c r="Y57">
        <v>74.31</v>
      </c>
      <c r="Z57">
        <v>72.36</v>
      </c>
      <c r="AA57">
        <v>34.5</v>
      </c>
      <c r="AC57" t="s">
        <v>11</v>
      </c>
      <c r="AD57" t="s">
        <v>23</v>
      </c>
      <c r="AE57">
        <v>3</v>
      </c>
      <c r="AF57">
        <v>2280.7454520000001</v>
      </c>
      <c r="AG57">
        <v>29.041399999999999</v>
      </c>
      <c r="AH57">
        <v>65.75</v>
      </c>
      <c r="AI57">
        <v>37.369999999999997</v>
      </c>
      <c r="AK57" t="s">
        <v>12</v>
      </c>
      <c r="AL57" t="s">
        <v>23</v>
      </c>
      <c r="AM57">
        <v>2</v>
      </c>
      <c r="AN57">
        <v>1632.0002959999999</v>
      </c>
      <c r="AQ57">
        <v>67.31</v>
      </c>
    </row>
    <row r="58" spans="1:43" x14ac:dyDescent="0.25">
      <c r="A58" t="s">
        <v>11</v>
      </c>
      <c r="B58" t="s">
        <v>23</v>
      </c>
      <c r="C58">
        <v>3</v>
      </c>
      <c r="D58">
        <v>2280.7454520000001</v>
      </c>
      <c r="E58">
        <v>29.041399999999999</v>
      </c>
      <c r="F58">
        <v>65.75</v>
      </c>
      <c r="G58">
        <v>37.369999999999997</v>
      </c>
      <c r="I58">
        <f>VLOOKUP(D58,WLReference!$A$2:$B$258,2,FALSE)</f>
        <v>38</v>
      </c>
      <c r="K58" s="11">
        <v>2198.8025379999999</v>
      </c>
      <c r="L58">
        <v>69.790000000000006</v>
      </c>
      <c r="M58">
        <v>1</v>
      </c>
      <c r="U58" t="s">
        <v>13</v>
      </c>
      <c r="V58" t="s">
        <v>23</v>
      </c>
      <c r="W58">
        <v>3</v>
      </c>
      <c r="X58">
        <v>1826.8659299999999</v>
      </c>
      <c r="Y58">
        <v>61.62</v>
      </c>
      <c r="Z58">
        <v>36.97</v>
      </c>
      <c r="AA58">
        <v>74.099999999999994</v>
      </c>
      <c r="AC58" t="s">
        <v>11</v>
      </c>
      <c r="AD58" t="s">
        <v>23</v>
      </c>
      <c r="AE58">
        <v>3</v>
      </c>
      <c r="AF58">
        <v>2273.6843239999998</v>
      </c>
      <c r="AG58">
        <v>24.7803</v>
      </c>
      <c r="AH58">
        <v>65.709999999999994</v>
      </c>
      <c r="AI58">
        <v>25.3</v>
      </c>
      <c r="AK58" t="s">
        <v>12</v>
      </c>
      <c r="AL58" t="s">
        <v>23</v>
      </c>
      <c r="AM58">
        <v>2</v>
      </c>
      <c r="AN58">
        <v>1468.800315</v>
      </c>
      <c r="AQ58">
        <v>66.83</v>
      </c>
    </row>
    <row r="59" spans="1:43" x14ac:dyDescent="0.25">
      <c r="A59" t="s">
        <v>11</v>
      </c>
      <c r="B59" t="s">
        <v>23</v>
      </c>
      <c r="C59">
        <v>3</v>
      </c>
      <c r="D59">
        <v>2273.6843239999998</v>
      </c>
      <c r="E59">
        <v>24.7803</v>
      </c>
      <c r="F59">
        <v>65.709999999999994</v>
      </c>
      <c r="G59">
        <v>25.3</v>
      </c>
      <c r="I59">
        <f>VLOOKUP(D59,WLReference!$A$2:$B$258,2,FALSE)</f>
        <v>39</v>
      </c>
      <c r="K59" s="11">
        <v>2287.8505740000001</v>
      </c>
      <c r="L59">
        <v>15.98</v>
      </c>
      <c r="M59">
        <v>1</v>
      </c>
      <c r="U59" t="s">
        <v>13</v>
      </c>
      <c r="V59" t="s">
        <v>23</v>
      </c>
      <c r="W59">
        <v>3</v>
      </c>
      <c r="X59">
        <v>1752.7449039999999</v>
      </c>
      <c r="Y59">
        <v>52.38</v>
      </c>
      <c r="Z59">
        <v>33.9</v>
      </c>
      <c r="AA59">
        <v>74.010000000000005</v>
      </c>
      <c r="AC59" t="s">
        <v>11</v>
      </c>
      <c r="AD59" t="s">
        <v>23</v>
      </c>
      <c r="AE59">
        <v>3</v>
      </c>
      <c r="AF59">
        <v>2287.8505740000001</v>
      </c>
      <c r="AG59">
        <v>57.619599999999998</v>
      </c>
      <c r="AH59">
        <v>63.67</v>
      </c>
      <c r="AI59">
        <v>15.98</v>
      </c>
      <c r="AK59" t="s">
        <v>12</v>
      </c>
      <c r="AL59" t="s">
        <v>23</v>
      </c>
      <c r="AM59">
        <v>2</v>
      </c>
      <c r="AN59">
        <v>1995.6523870000001</v>
      </c>
      <c r="AQ59">
        <v>65.12</v>
      </c>
    </row>
    <row r="60" spans="1:43" x14ac:dyDescent="0.25">
      <c r="A60" t="s">
        <v>11</v>
      </c>
      <c r="B60" t="s">
        <v>23</v>
      </c>
      <c r="C60">
        <v>3</v>
      </c>
      <c r="D60">
        <v>2287.8505740000001</v>
      </c>
      <c r="E60">
        <v>57.619599999999998</v>
      </c>
      <c r="F60">
        <v>63.67</v>
      </c>
      <c r="G60">
        <v>15.98</v>
      </c>
      <c r="I60">
        <f>VLOOKUP(D60,WLReference!$A$2:$B$258,2,FALSE)</f>
        <v>37</v>
      </c>
      <c r="K60" s="11">
        <v>2266.6667830000001</v>
      </c>
      <c r="L60">
        <v>88.08</v>
      </c>
      <c r="M60">
        <v>1</v>
      </c>
      <c r="U60" t="s">
        <v>13</v>
      </c>
      <c r="V60" t="s">
        <v>23</v>
      </c>
      <c r="W60">
        <v>3</v>
      </c>
      <c r="X60">
        <v>1822.3327650000001</v>
      </c>
      <c r="Y60">
        <v>63.84</v>
      </c>
      <c r="Z60">
        <v>28.38</v>
      </c>
      <c r="AA60">
        <v>73.75</v>
      </c>
      <c r="AC60" t="s">
        <v>11</v>
      </c>
      <c r="AD60" t="s">
        <v>23</v>
      </c>
      <c r="AE60">
        <v>3</v>
      </c>
      <c r="AF60">
        <v>1715.888132</v>
      </c>
      <c r="AG60">
        <v>48.9116</v>
      </c>
      <c r="AH60">
        <v>63.44</v>
      </c>
      <c r="AI60">
        <v>17.93</v>
      </c>
      <c r="AK60" t="s">
        <v>12</v>
      </c>
      <c r="AL60" t="s">
        <v>23</v>
      </c>
      <c r="AM60">
        <v>2</v>
      </c>
      <c r="AN60">
        <v>1471.743802</v>
      </c>
      <c r="AQ60">
        <v>64.290000000000006</v>
      </c>
    </row>
    <row r="61" spans="1:43" x14ac:dyDescent="0.25">
      <c r="A61" t="s">
        <v>11</v>
      </c>
      <c r="B61" t="s">
        <v>23</v>
      </c>
      <c r="C61">
        <v>3</v>
      </c>
      <c r="D61">
        <v>1715.888132</v>
      </c>
      <c r="E61">
        <v>48.9116</v>
      </c>
      <c r="F61">
        <v>63.44</v>
      </c>
      <c r="G61">
        <v>17.93</v>
      </c>
      <c r="I61">
        <f>VLOOKUP(D61,WLReference!$A$2:$B$258,2,FALSE)</f>
        <v>144</v>
      </c>
      <c r="K61" s="11">
        <v>1963.6365860000001</v>
      </c>
      <c r="L61">
        <v>83.6</v>
      </c>
      <c r="M61">
        <v>1</v>
      </c>
      <c r="U61" t="s">
        <v>13</v>
      </c>
      <c r="V61" t="s">
        <v>23</v>
      </c>
      <c r="W61">
        <v>3</v>
      </c>
      <c r="X61">
        <v>1657.788102</v>
      </c>
      <c r="Y61">
        <v>73.650000000000006</v>
      </c>
      <c r="Z61">
        <v>50.89</v>
      </c>
      <c r="AA61">
        <v>53.53</v>
      </c>
      <c r="AC61" t="s">
        <v>11</v>
      </c>
      <c r="AD61" t="s">
        <v>23</v>
      </c>
      <c r="AE61">
        <v>3</v>
      </c>
      <c r="AF61">
        <v>2040.0001990000001</v>
      </c>
      <c r="AG61">
        <v>15.851900000000001</v>
      </c>
      <c r="AH61">
        <v>47.29</v>
      </c>
      <c r="AI61">
        <v>63.06</v>
      </c>
      <c r="AK61" t="s">
        <v>12</v>
      </c>
      <c r="AL61" t="s">
        <v>23</v>
      </c>
      <c r="AM61">
        <v>2</v>
      </c>
      <c r="AN61">
        <v>1412.308012</v>
      </c>
      <c r="AQ61">
        <v>64.11</v>
      </c>
    </row>
    <row r="62" spans="1:43" x14ac:dyDescent="0.25">
      <c r="A62" t="s">
        <v>11</v>
      </c>
      <c r="B62" t="s">
        <v>23</v>
      </c>
      <c r="C62">
        <v>3</v>
      </c>
      <c r="D62">
        <v>2040.0001990000001</v>
      </c>
      <c r="E62">
        <v>15.851900000000001</v>
      </c>
      <c r="F62">
        <v>47.29</v>
      </c>
      <c r="G62">
        <v>63.06</v>
      </c>
      <c r="I62">
        <f>VLOOKUP(D62,WLReference!$A$2:$B$258,2,FALSE)</f>
        <v>76</v>
      </c>
      <c r="K62" s="11">
        <v>2392.1824710000001</v>
      </c>
      <c r="L62">
        <v>74.150000000000006</v>
      </c>
      <c r="M62">
        <v>1</v>
      </c>
      <c r="U62" t="s">
        <v>14</v>
      </c>
      <c r="V62" t="s">
        <v>23</v>
      </c>
      <c r="W62">
        <v>2</v>
      </c>
      <c r="X62">
        <v>2166.3718370000001</v>
      </c>
      <c r="AA62">
        <v>100</v>
      </c>
      <c r="AC62" t="s">
        <v>13</v>
      </c>
      <c r="AD62" t="s">
        <v>23</v>
      </c>
      <c r="AE62">
        <v>3</v>
      </c>
      <c r="AF62">
        <v>2172.7812180000001</v>
      </c>
      <c r="AG62">
        <v>100</v>
      </c>
      <c r="AH62">
        <v>72.58</v>
      </c>
      <c r="AI62">
        <v>84.67</v>
      </c>
      <c r="AK62" t="s">
        <v>14</v>
      </c>
      <c r="AL62" t="s">
        <v>23</v>
      </c>
      <c r="AM62">
        <v>2</v>
      </c>
      <c r="AN62">
        <v>2166.3718370000001</v>
      </c>
      <c r="AQ62">
        <v>100</v>
      </c>
    </row>
    <row r="63" spans="1:43" x14ac:dyDescent="0.25">
      <c r="A63" t="s">
        <v>13</v>
      </c>
      <c r="B63" t="s">
        <v>23</v>
      </c>
      <c r="C63">
        <v>3</v>
      </c>
      <c r="D63">
        <v>2172.7812180000001</v>
      </c>
      <c r="E63">
        <v>100</v>
      </c>
      <c r="F63">
        <v>72.58</v>
      </c>
      <c r="G63">
        <v>84.67</v>
      </c>
      <c r="I63">
        <f>VLOOKUP(D63,WLReference!$A$2:$B$258,2,FALSE)</f>
        <v>54</v>
      </c>
      <c r="K63" s="11">
        <v>1953.1917149999999</v>
      </c>
      <c r="L63">
        <v>69.489999999999995</v>
      </c>
      <c r="M63">
        <v>1</v>
      </c>
      <c r="U63" t="s">
        <v>14</v>
      </c>
      <c r="V63" t="s">
        <v>23</v>
      </c>
      <c r="W63">
        <v>2</v>
      </c>
      <c r="X63">
        <v>2172.7812180000001</v>
      </c>
      <c r="AA63">
        <v>92.59</v>
      </c>
      <c r="AC63" t="s">
        <v>13</v>
      </c>
      <c r="AD63" t="s">
        <v>23</v>
      </c>
      <c r="AE63">
        <v>3</v>
      </c>
      <c r="AF63">
        <v>2160.0001579999998</v>
      </c>
      <c r="AG63">
        <v>90.88</v>
      </c>
      <c r="AH63">
        <v>57.15</v>
      </c>
      <c r="AI63">
        <v>86.77</v>
      </c>
      <c r="AK63" t="s">
        <v>14</v>
      </c>
      <c r="AL63" t="s">
        <v>23</v>
      </c>
      <c r="AM63">
        <v>2</v>
      </c>
      <c r="AN63">
        <v>2172.7812180000001</v>
      </c>
      <c r="AQ63">
        <v>92.59</v>
      </c>
    </row>
    <row r="64" spans="1:43" x14ac:dyDescent="0.25">
      <c r="A64" t="s">
        <v>13</v>
      </c>
      <c r="B64" t="s">
        <v>23</v>
      </c>
      <c r="C64">
        <v>3</v>
      </c>
      <c r="D64">
        <v>2160.0001579999998</v>
      </c>
      <c r="E64">
        <v>90.88</v>
      </c>
      <c r="F64">
        <v>57.15</v>
      </c>
      <c r="G64">
        <v>86.77</v>
      </c>
      <c r="I64">
        <f>VLOOKUP(D64,WLReference!$A$2:$B$258,2,FALSE)</f>
        <v>56</v>
      </c>
      <c r="K64" s="11">
        <v>1511.1114219999999</v>
      </c>
      <c r="L64">
        <v>91.7</v>
      </c>
      <c r="M64">
        <v>1</v>
      </c>
      <c r="U64" t="s">
        <v>14</v>
      </c>
      <c r="V64" t="s">
        <v>23</v>
      </c>
      <c r="W64">
        <v>2</v>
      </c>
      <c r="X64">
        <v>2160.0001579999998</v>
      </c>
      <c r="AA64">
        <v>81.77</v>
      </c>
      <c r="AC64" t="s">
        <v>13</v>
      </c>
      <c r="AD64" t="s">
        <v>23</v>
      </c>
      <c r="AE64">
        <v>3</v>
      </c>
      <c r="AF64">
        <v>1922.5133229999999</v>
      </c>
      <c r="AG64">
        <v>37.46</v>
      </c>
      <c r="AH64">
        <v>90.56</v>
      </c>
      <c r="AI64">
        <v>58.23</v>
      </c>
      <c r="AK64" t="s">
        <v>14</v>
      </c>
      <c r="AL64" t="s">
        <v>23</v>
      </c>
      <c r="AM64">
        <v>2</v>
      </c>
      <c r="AN64">
        <v>2160.0001579999998</v>
      </c>
      <c r="AQ64">
        <v>81.77</v>
      </c>
    </row>
    <row r="65" spans="1:43" x14ac:dyDescent="0.25">
      <c r="A65" t="s">
        <v>13</v>
      </c>
      <c r="B65" t="s">
        <v>23</v>
      </c>
      <c r="C65">
        <v>3</v>
      </c>
      <c r="D65">
        <v>1922.5133229999999</v>
      </c>
      <c r="E65">
        <v>37.46</v>
      </c>
      <c r="F65">
        <v>90.56</v>
      </c>
      <c r="G65">
        <v>58.23</v>
      </c>
      <c r="I65">
        <f>VLOOKUP(D65,WLReference!$A$2:$B$258,2,FALSE)</f>
        <v>98</v>
      </c>
      <c r="K65" s="11">
        <v>1922.5133229999999</v>
      </c>
      <c r="L65">
        <v>58.23</v>
      </c>
      <c r="M65">
        <v>1</v>
      </c>
      <c r="U65" t="s">
        <v>14</v>
      </c>
      <c r="V65" t="s">
        <v>23</v>
      </c>
      <c r="W65">
        <v>2</v>
      </c>
      <c r="X65">
        <v>2179.2286370000002</v>
      </c>
      <c r="AA65">
        <v>77.77</v>
      </c>
      <c r="AC65" t="s">
        <v>13</v>
      </c>
      <c r="AD65" t="s">
        <v>23</v>
      </c>
      <c r="AE65">
        <v>3</v>
      </c>
      <c r="AF65">
        <v>2166.3718370000001</v>
      </c>
      <c r="AG65">
        <v>90.04</v>
      </c>
      <c r="AH65">
        <v>52.41</v>
      </c>
      <c r="AI65">
        <v>67.75</v>
      </c>
      <c r="AK65" t="s">
        <v>14</v>
      </c>
      <c r="AL65" t="s">
        <v>23</v>
      </c>
      <c r="AM65">
        <v>2</v>
      </c>
      <c r="AN65">
        <v>2179.2286370000002</v>
      </c>
      <c r="AQ65">
        <v>77.77</v>
      </c>
    </row>
    <row r="66" spans="1:43" x14ac:dyDescent="0.25">
      <c r="A66" t="s">
        <v>13</v>
      </c>
      <c r="B66" t="s">
        <v>23</v>
      </c>
      <c r="C66">
        <v>3</v>
      </c>
      <c r="D66">
        <v>2166.3718370000001</v>
      </c>
      <c r="E66">
        <v>90.04</v>
      </c>
      <c r="F66">
        <v>52.41</v>
      </c>
      <c r="G66">
        <v>67.75</v>
      </c>
      <c r="I66">
        <f>VLOOKUP(D66,WLReference!$A$2:$B$258,2,FALSE)</f>
        <v>55</v>
      </c>
      <c r="K66" s="11">
        <v>2034.3492309999999</v>
      </c>
      <c r="L66">
        <v>63.4</v>
      </c>
      <c r="M66">
        <v>1</v>
      </c>
      <c r="U66" t="s">
        <v>14</v>
      </c>
      <c r="V66" t="s">
        <v>23</v>
      </c>
      <c r="W66">
        <v>2</v>
      </c>
      <c r="X66">
        <v>1661.538753</v>
      </c>
      <c r="AA66">
        <v>71.23</v>
      </c>
      <c r="AC66" t="s">
        <v>13</v>
      </c>
      <c r="AD66" t="s">
        <v>23</v>
      </c>
      <c r="AE66">
        <v>3</v>
      </c>
      <c r="AF66">
        <v>2141.1080360000001</v>
      </c>
      <c r="AG66">
        <v>70.650000000000006</v>
      </c>
      <c r="AH66">
        <v>25.09</v>
      </c>
      <c r="AI66">
        <v>86.8</v>
      </c>
      <c r="AK66" t="s">
        <v>14</v>
      </c>
      <c r="AL66" t="s">
        <v>23</v>
      </c>
      <c r="AM66">
        <v>2</v>
      </c>
      <c r="AN66">
        <v>1661.538753</v>
      </c>
      <c r="AQ66">
        <v>71.23</v>
      </c>
    </row>
    <row r="67" spans="1:43" x14ac:dyDescent="0.25">
      <c r="A67" t="s">
        <v>13</v>
      </c>
      <c r="B67" t="s">
        <v>23</v>
      </c>
      <c r="C67">
        <v>3</v>
      </c>
      <c r="D67">
        <v>2141.1080360000001</v>
      </c>
      <c r="E67">
        <v>70.650000000000006</v>
      </c>
      <c r="F67">
        <v>25.09</v>
      </c>
      <c r="G67">
        <v>86.8</v>
      </c>
      <c r="I67">
        <f>VLOOKUP(D67,WLReference!$A$2:$B$258,2,FALSE)</f>
        <v>59</v>
      </c>
      <c r="K67" s="11">
        <v>1593.0588700000001</v>
      </c>
      <c r="L67">
        <v>34.5</v>
      </c>
      <c r="M67">
        <v>1</v>
      </c>
      <c r="U67" t="s">
        <v>14</v>
      </c>
      <c r="V67" t="s">
        <v>23</v>
      </c>
      <c r="W67">
        <v>2</v>
      </c>
      <c r="X67">
        <v>2153.665849</v>
      </c>
      <c r="AA67">
        <v>66.55</v>
      </c>
      <c r="AC67" t="s">
        <v>13</v>
      </c>
      <c r="AD67" t="s">
        <v>23</v>
      </c>
      <c r="AE67">
        <v>3</v>
      </c>
      <c r="AF67">
        <v>2153.665849</v>
      </c>
      <c r="AG67">
        <v>85.05</v>
      </c>
      <c r="AH67">
        <v>29.24</v>
      </c>
      <c r="AI67">
        <v>80.319999999999993</v>
      </c>
      <c r="AK67" t="s">
        <v>14</v>
      </c>
      <c r="AL67" t="s">
        <v>23</v>
      </c>
      <c r="AM67">
        <v>2</v>
      </c>
      <c r="AN67">
        <v>2153.665849</v>
      </c>
      <c r="AQ67">
        <v>66.55</v>
      </c>
    </row>
    <row r="68" spans="1:43" x14ac:dyDescent="0.25">
      <c r="A68" t="s">
        <v>13</v>
      </c>
      <c r="B68" t="s">
        <v>23</v>
      </c>
      <c r="C68">
        <v>3</v>
      </c>
      <c r="D68">
        <v>2153.665849</v>
      </c>
      <c r="E68">
        <v>85.05</v>
      </c>
      <c r="F68">
        <v>29.24</v>
      </c>
      <c r="G68">
        <v>80.319999999999993</v>
      </c>
      <c r="I68">
        <f>VLOOKUP(D68,WLReference!$A$2:$B$258,2,FALSE)</f>
        <v>57</v>
      </c>
      <c r="K68" s="11">
        <v>1892.7837469999999</v>
      </c>
      <c r="L68">
        <v>25.43</v>
      </c>
      <c r="M68">
        <v>1</v>
      </c>
      <c r="U68" t="s">
        <v>14</v>
      </c>
      <c r="V68" t="s">
        <v>23</v>
      </c>
      <c r="W68">
        <v>2</v>
      </c>
      <c r="X68">
        <v>2185.714434</v>
      </c>
      <c r="AA68">
        <v>65</v>
      </c>
      <c r="AC68" t="s">
        <v>13</v>
      </c>
      <c r="AD68" t="s">
        <v>23</v>
      </c>
      <c r="AE68">
        <v>3</v>
      </c>
      <c r="AF68">
        <v>2147.3685829999999</v>
      </c>
      <c r="AG68">
        <v>76.17</v>
      </c>
      <c r="AH68">
        <v>35.049999999999997</v>
      </c>
      <c r="AI68">
        <v>84.49</v>
      </c>
      <c r="AK68" t="s">
        <v>14</v>
      </c>
      <c r="AL68" t="s">
        <v>23</v>
      </c>
      <c r="AM68">
        <v>2</v>
      </c>
      <c r="AN68">
        <v>2185.714434</v>
      </c>
      <c r="AQ68">
        <v>65</v>
      </c>
    </row>
    <row r="69" spans="1:43" x14ac:dyDescent="0.25">
      <c r="A69" t="s">
        <v>13</v>
      </c>
      <c r="B69" t="s">
        <v>23</v>
      </c>
      <c r="C69">
        <v>3</v>
      </c>
      <c r="D69">
        <v>2147.3685829999999</v>
      </c>
      <c r="E69">
        <v>76.17</v>
      </c>
      <c r="F69">
        <v>35.049999999999997</v>
      </c>
      <c r="G69">
        <v>84.49</v>
      </c>
      <c r="I69">
        <f>VLOOKUP(D69,WLReference!$A$2:$B$258,2,FALSE)</f>
        <v>58</v>
      </c>
      <c r="K69" s="11">
        <v>2185.714434</v>
      </c>
      <c r="L69">
        <v>65</v>
      </c>
      <c r="M69">
        <v>1</v>
      </c>
      <c r="U69" t="s">
        <v>14</v>
      </c>
      <c r="V69" t="s">
        <v>23</v>
      </c>
      <c r="W69">
        <v>2</v>
      </c>
      <c r="X69">
        <v>2122.5435240000002</v>
      </c>
      <c r="AA69">
        <v>57.83</v>
      </c>
      <c r="AC69" t="s">
        <v>13</v>
      </c>
      <c r="AD69" t="s">
        <v>23</v>
      </c>
      <c r="AE69">
        <v>3</v>
      </c>
      <c r="AF69">
        <v>2179.2286370000002</v>
      </c>
      <c r="AG69">
        <v>82.61</v>
      </c>
      <c r="AH69">
        <v>69.34</v>
      </c>
      <c r="AI69">
        <v>75.09</v>
      </c>
      <c r="AK69" t="s">
        <v>14</v>
      </c>
      <c r="AL69" t="s">
        <v>23</v>
      </c>
      <c r="AM69">
        <v>2</v>
      </c>
      <c r="AN69">
        <v>2122.5435240000002</v>
      </c>
      <c r="AQ69">
        <v>57.83</v>
      </c>
    </row>
    <row r="70" spans="1:43" x14ac:dyDescent="0.25">
      <c r="A70" t="s">
        <v>13</v>
      </c>
      <c r="B70" t="s">
        <v>23</v>
      </c>
      <c r="C70">
        <v>3</v>
      </c>
      <c r="D70">
        <v>2179.2286370000002</v>
      </c>
      <c r="E70">
        <v>82.61</v>
      </c>
      <c r="F70">
        <v>69.34</v>
      </c>
      <c r="G70">
        <v>75.09</v>
      </c>
      <c r="I70">
        <f>VLOOKUP(D70,WLReference!$A$2:$B$258,2,FALSE)</f>
        <v>53</v>
      </c>
      <c r="K70" s="11">
        <v>1442.8293940000001</v>
      </c>
      <c r="L70">
        <v>25.02</v>
      </c>
      <c r="M70">
        <v>1</v>
      </c>
      <c r="U70" t="s">
        <v>14</v>
      </c>
      <c r="V70" t="s">
        <v>23</v>
      </c>
      <c r="W70">
        <v>2</v>
      </c>
      <c r="X70">
        <v>2192.2389520000002</v>
      </c>
      <c r="AA70">
        <v>54.01</v>
      </c>
      <c r="AC70" t="s">
        <v>13</v>
      </c>
      <c r="AD70" t="s">
        <v>23</v>
      </c>
      <c r="AE70">
        <v>3</v>
      </c>
      <c r="AF70">
        <v>2051.396843</v>
      </c>
      <c r="AG70">
        <v>31.4</v>
      </c>
      <c r="AH70">
        <v>41.06</v>
      </c>
      <c r="AI70">
        <v>82.53</v>
      </c>
      <c r="AK70" t="s">
        <v>14</v>
      </c>
      <c r="AL70" t="s">
        <v>23</v>
      </c>
      <c r="AM70">
        <v>2</v>
      </c>
      <c r="AN70">
        <v>2192.2389520000002</v>
      </c>
      <c r="AQ70">
        <v>54.01</v>
      </c>
    </row>
    <row r="71" spans="1:43" x14ac:dyDescent="0.25">
      <c r="A71" t="s">
        <v>13</v>
      </c>
      <c r="B71" t="s">
        <v>23</v>
      </c>
      <c r="C71">
        <v>3</v>
      </c>
      <c r="D71">
        <v>2051.396843</v>
      </c>
      <c r="E71">
        <v>31.4</v>
      </c>
      <c r="F71">
        <v>41.06</v>
      </c>
      <c r="G71">
        <v>82.53</v>
      </c>
      <c r="I71">
        <f>VLOOKUP(D71,WLReference!$A$2:$B$258,2,FALSE)</f>
        <v>74</v>
      </c>
      <c r="K71" s="11">
        <v>1817.822042</v>
      </c>
      <c r="L71">
        <v>50.88</v>
      </c>
      <c r="M71">
        <v>1</v>
      </c>
      <c r="U71" t="s">
        <v>14</v>
      </c>
      <c r="V71" t="s">
        <v>23</v>
      </c>
      <c r="W71">
        <v>2</v>
      </c>
      <c r="X71">
        <v>1822.3327650000001</v>
      </c>
      <c r="AA71">
        <v>53.14</v>
      </c>
      <c r="AC71" t="s">
        <v>13</v>
      </c>
      <c r="AD71" t="s">
        <v>23</v>
      </c>
      <c r="AE71">
        <v>3</v>
      </c>
      <c r="AF71">
        <v>1661.538753</v>
      </c>
      <c r="AG71">
        <v>82.04</v>
      </c>
      <c r="AH71">
        <v>59.95</v>
      </c>
      <c r="AI71">
        <v>59.21</v>
      </c>
      <c r="AK71" t="s">
        <v>14</v>
      </c>
      <c r="AL71" t="s">
        <v>23</v>
      </c>
      <c r="AM71">
        <v>2</v>
      </c>
      <c r="AN71">
        <v>1822.3327650000001</v>
      </c>
      <c r="AQ71">
        <v>53.14</v>
      </c>
    </row>
    <row r="72" spans="1:43" x14ac:dyDescent="0.25">
      <c r="A72" t="s">
        <v>13</v>
      </c>
      <c r="B72" t="s">
        <v>23</v>
      </c>
      <c r="C72">
        <v>3</v>
      </c>
      <c r="D72">
        <v>1661.538753</v>
      </c>
      <c r="E72">
        <v>82.04</v>
      </c>
      <c r="F72">
        <v>59.95</v>
      </c>
      <c r="G72">
        <v>59.21</v>
      </c>
      <c r="I72">
        <f>VLOOKUP(D72,WLReference!$A$2:$B$258,2,FALSE)</f>
        <v>158</v>
      </c>
      <c r="K72" s="11">
        <v>1912.500237</v>
      </c>
      <c r="L72">
        <v>65.75</v>
      </c>
      <c r="M72">
        <v>1</v>
      </c>
      <c r="U72" t="s">
        <v>14</v>
      </c>
      <c r="V72" t="s">
        <v>23</v>
      </c>
      <c r="W72">
        <v>2</v>
      </c>
      <c r="X72">
        <v>2134.8838879999998</v>
      </c>
      <c r="AA72">
        <v>51.96</v>
      </c>
      <c r="AC72" t="s">
        <v>13</v>
      </c>
      <c r="AD72" t="s">
        <v>23</v>
      </c>
      <c r="AE72">
        <v>3</v>
      </c>
      <c r="AF72">
        <v>1669.091199</v>
      </c>
      <c r="AG72">
        <v>81.03</v>
      </c>
      <c r="AH72">
        <v>36.229999999999997</v>
      </c>
      <c r="AI72">
        <v>76.790000000000006</v>
      </c>
      <c r="AK72" t="s">
        <v>14</v>
      </c>
      <c r="AL72" t="s">
        <v>23</v>
      </c>
      <c r="AM72">
        <v>2</v>
      </c>
      <c r="AN72">
        <v>2134.8838879999998</v>
      </c>
      <c r="AQ72">
        <v>51.96</v>
      </c>
    </row>
    <row r="73" spans="1:43" x14ac:dyDescent="0.25">
      <c r="A73" t="s">
        <v>13</v>
      </c>
      <c r="B73" t="s">
        <v>23</v>
      </c>
      <c r="C73">
        <v>3</v>
      </c>
      <c r="D73">
        <v>1669.091199</v>
      </c>
      <c r="E73">
        <v>81.03</v>
      </c>
      <c r="F73">
        <v>36.229999999999997</v>
      </c>
      <c r="G73">
        <v>76.790000000000006</v>
      </c>
      <c r="I73">
        <f>VLOOKUP(D73,WLReference!$A$2:$B$258,2,FALSE)</f>
        <v>156</v>
      </c>
      <c r="K73" s="11">
        <v>1610.526615</v>
      </c>
      <c r="L73">
        <v>87.56</v>
      </c>
      <c r="M73">
        <v>1</v>
      </c>
      <c r="U73" t="s">
        <v>14</v>
      </c>
      <c r="V73" t="s">
        <v>23</v>
      </c>
      <c r="W73">
        <v>2</v>
      </c>
      <c r="X73">
        <v>2147.3685829999999</v>
      </c>
      <c r="AA73">
        <v>51.58</v>
      </c>
      <c r="AC73" t="s">
        <v>13</v>
      </c>
      <c r="AD73" t="s">
        <v>23</v>
      </c>
      <c r="AE73">
        <v>3</v>
      </c>
      <c r="AF73">
        <v>2134.8838879999998</v>
      </c>
      <c r="AG73">
        <v>50.39</v>
      </c>
      <c r="AH73">
        <v>49.25</v>
      </c>
      <c r="AI73">
        <v>80.8</v>
      </c>
      <c r="AK73" t="s">
        <v>14</v>
      </c>
      <c r="AL73" t="s">
        <v>23</v>
      </c>
      <c r="AM73">
        <v>2</v>
      </c>
      <c r="AN73">
        <v>2147.3685829999999</v>
      </c>
      <c r="AQ73">
        <v>51.58</v>
      </c>
    </row>
    <row r="74" spans="1:43" x14ac:dyDescent="0.25">
      <c r="A74" t="s">
        <v>13</v>
      </c>
      <c r="B74" t="s">
        <v>23</v>
      </c>
      <c r="C74">
        <v>3</v>
      </c>
      <c r="D74">
        <v>2134.8838879999998</v>
      </c>
      <c r="E74">
        <v>50.39</v>
      </c>
      <c r="F74">
        <v>49.25</v>
      </c>
      <c r="G74">
        <v>80.8</v>
      </c>
      <c r="I74">
        <f>VLOOKUP(D74,WLReference!$A$2:$B$258,2,FALSE)</f>
        <v>60</v>
      </c>
      <c r="K74" s="11">
        <v>1365.0560840000001</v>
      </c>
      <c r="L74">
        <v>41.46</v>
      </c>
      <c r="M74">
        <v>1</v>
      </c>
      <c r="U74" t="s">
        <v>14</v>
      </c>
      <c r="V74" t="s">
        <v>23</v>
      </c>
      <c r="W74">
        <v>2</v>
      </c>
      <c r="X74">
        <v>1813.3335950000001</v>
      </c>
      <c r="AA74">
        <v>51.39</v>
      </c>
      <c r="AC74" t="s">
        <v>13</v>
      </c>
      <c r="AD74" t="s">
        <v>23</v>
      </c>
      <c r="AE74">
        <v>3</v>
      </c>
      <c r="AF74">
        <v>1628.3816710000001</v>
      </c>
      <c r="AG74">
        <v>79.819999999999993</v>
      </c>
      <c r="AH74">
        <v>41.35</v>
      </c>
      <c r="AI74">
        <v>24.23</v>
      </c>
      <c r="AK74" t="s">
        <v>14</v>
      </c>
      <c r="AL74" t="s">
        <v>23</v>
      </c>
      <c r="AM74">
        <v>2</v>
      </c>
      <c r="AN74">
        <v>1813.3335950000001</v>
      </c>
      <c r="AQ74">
        <v>51.39</v>
      </c>
    </row>
    <row r="75" spans="1:43" x14ac:dyDescent="0.25">
      <c r="A75" t="s">
        <v>13</v>
      </c>
      <c r="B75" t="s">
        <v>23</v>
      </c>
      <c r="C75">
        <v>3</v>
      </c>
      <c r="D75">
        <v>1628.3816710000001</v>
      </c>
      <c r="E75">
        <v>79.819999999999993</v>
      </c>
      <c r="F75">
        <v>41.35</v>
      </c>
      <c r="G75">
        <v>24.23</v>
      </c>
      <c r="I75">
        <f>VLOOKUP(D75,WLReference!$A$2:$B$258,2,FALSE)</f>
        <v>167</v>
      </c>
      <c r="K75" s="11">
        <v>2273.6843239999998</v>
      </c>
      <c r="L75">
        <v>25.3</v>
      </c>
      <c r="M75">
        <v>1</v>
      </c>
      <c r="U75" t="s">
        <v>14</v>
      </c>
      <c r="V75" t="s">
        <v>23</v>
      </c>
      <c r="W75">
        <v>2</v>
      </c>
      <c r="X75">
        <v>1642.9533140000001</v>
      </c>
      <c r="AA75">
        <v>51.3</v>
      </c>
      <c r="AC75" t="s">
        <v>13</v>
      </c>
      <c r="AD75" t="s">
        <v>23</v>
      </c>
      <c r="AE75">
        <v>3</v>
      </c>
      <c r="AF75">
        <v>1632.0002959999999</v>
      </c>
      <c r="AG75">
        <v>78.95</v>
      </c>
      <c r="AH75">
        <v>25.98</v>
      </c>
      <c r="AI75">
        <v>55.88</v>
      </c>
      <c r="AK75" t="s">
        <v>14</v>
      </c>
      <c r="AL75" t="s">
        <v>23</v>
      </c>
      <c r="AM75">
        <v>2</v>
      </c>
      <c r="AN75">
        <v>1642.9533140000001</v>
      </c>
      <c r="AQ75">
        <v>51.3</v>
      </c>
    </row>
    <row r="76" spans="1:43" x14ac:dyDescent="0.25">
      <c r="A76" t="s">
        <v>13</v>
      </c>
      <c r="B76" t="s">
        <v>23</v>
      </c>
      <c r="C76">
        <v>3</v>
      </c>
      <c r="D76">
        <v>1632.0002959999999</v>
      </c>
      <c r="E76">
        <v>78.95</v>
      </c>
      <c r="F76">
        <v>25.98</v>
      </c>
      <c r="G76">
        <v>55.88</v>
      </c>
      <c r="I76">
        <f>VLOOKUP(D76,WLReference!$A$2:$B$258,2,FALSE)</f>
        <v>166</v>
      </c>
      <c r="K76" s="11">
        <v>2324.0507240000002</v>
      </c>
      <c r="L76">
        <v>100</v>
      </c>
      <c r="M76">
        <v>1</v>
      </c>
      <c r="U76" t="s">
        <v>14</v>
      </c>
      <c r="V76" t="s">
        <v>23</v>
      </c>
      <c r="W76">
        <v>2</v>
      </c>
      <c r="X76">
        <v>1817.822042</v>
      </c>
      <c r="AA76">
        <v>50.88</v>
      </c>
      <c r="AC76" t="s">
        <v>13</v>
      </c>
      <c r="AD76" t="s">
        <v>23</v>
      </c>
      <c r="AE76">
        <v>3</v>
      </c>
      <c r="AF76">
        <v>1624.7790580000001</v>
      </c>
      <c r="AG76">
        <v>78.489999999999995</v>
      </c>
      <c r="AH76">
        <v>62.19</v>
      </c>
      <c r="AI76">
        <v>33.78</v>
      </c>
      <c r="AK76" t="s">
        <v>14</v>
      </c>
      <c r="AL76" t="s">
        <v>23</v>
      </c>
      <c r="AM76">
        <v>2</v>
      </c>
      <c r="AN76">
        <v>1817.822042</v>
      </c>
      <c r="AQ76">
        <v>50.88</v>
      </c>
    </row>
    <row r="77" spans="1:43" x14ac:dyDescent="0.25">
      <c r="A77" t="s">
        <v>13</v>
      </c>
      <c r="B77" t="s">
        <v>23</v>
      </c>
      <c r="C77">
        <v>3</v>
      </c>
      <c r="D77">
        <v>1624.7790580000001</v>
      </c>
      <c r="E77">
        <v>78.489999999999995</v>
      </c>
      <c r="F77">
        <v>62.19</v>
      </c>
      <c r="G77">
        <v>33.78</v>
      </c>
      <c r="I77">
        <f>VLOOKUP(D77,WLReference!$A$2:$B$258,2,FALSE)</f>
        <v>168</v>
      </c>
      <c r="K77" s="11">
        <v>1715.888132</v>
      </c>
      <c r="L77">
        <v>17.93</v>
      </c>
      <c r="M77">
        <v>1</v>
      </c>
      <c r="U77" t="s">
        <v>14</v>
      </c>
      <c r="V77" t="s">
        <v>23</v>
      </c>
      <c r="W77">
        <v>2</v>
      </c>
      <c r="X77">
        <v>1665.306413</v>
      </c>
      <c r="AA77">
        <v>50.85</v>
      </c>
      <c r="AC77" t="s">
        <v>13</v>
      </c>
      <c r="AD77" t="s">
        <v>23</v>
      </c>
      <c r="AE77">
        <v>3</v>
      </c>
      <c r="AF77">
        <v>1593.0588700000001</v>
      </c>
      <c r="AG77">
        <v>74.31</v>
      </c>
      <c r="AH77">
        <v>72.36</v>
      </c>
      <c r="AI77">
        <v>34.5</v>
      </c>
      <c r="AK77" t="s">
        <v>14</v>
      </c>
      <c r="AL77" t="s">
        <v>23</v>
      </c>
      <c r="AM77">
        <v>2</v>
      </c>
      <c r="AN77">
        <v>1665.306413</v>
      </c>
      <c r="AQ77">
        <v>50.85</v>
      </c>
    </row>
    <row r="78" spans="1:43" x14ac:dyDescent="0.25">
      <c r="A78" t="s">
        <v>13</v>
      </c>
      <c r="B78" t="s">
        <v>23</v>
      </c>
      <c r="C78">
        <v>3</v>
      </c>
      <c r="D78">
        <v>1593.0588700000001</v>
      </c>
      <c r="E78">
        <v>74.31</v>
      </c>
      <c r="F78">
        <v>72.36</v>
      </c>
      <c r="G78">
        <v>34.5</v>
      </c>
      <c r="I78">
        <f>VLOOKUP(D78,WLReference!$A$2:$B$258,2,FALSE)</f>
        <v>177</v>
      </c>
      <c r="K78" s="11">
        <v>2023.1406999999999</v>
      </c>
      <c r="L78">
        <v>77.709999999999994</v>
      </c>
      <c r="M78">
        <v>1</v>
      </c>
      <c r="U78" t="s">
        <v>14</v>
      </c>
      <c r="V78" t="s">
        <v>23</v>
      </c>
      <c r="W78">
        <v>2</v>
      </c>
      <c r="X78">
        <v>1672.8932279999999</v>
      </c>
      <c r="AA78">
        <v>49.62</v>
      </c>
      <c r="AC78" t="s">
        <v>13</v>
      </c>
      <c r="AD78" t="s">
        <v>23</v>
      </c>
      <c r="AE78">
        <v>3</v>
      </c>
      <c r="AF78">
        <v>1826.8659299999999</v>
      </c>
      <c r="AG78">
        <v>61.62</v>
      </c>
      <c r="AH78">
        <v>36.97</v>
      </c>
      <c r="AI78">
        <v>74.099999999999994</v>
      </c>
      <c r="AK78" t="s">
        <v>14</v>
      </c>
      <c r="AL78" t="s">
        <v>23</v>
      </c>
      <c r="AM78">
        <v>2</v>
      </c>
      <c r="AN78">
        <v>1672.8932279999999</v>
      </c>
      <c r="AQ78">
        <v>49.62</v>
      </c>
    </row>
    <row r="79" spans="1:43" x14ac:dyDescent="0.25">
      <c r="A79" t="s">
        <v>13</v>
      </c>
      <c r="B79" t="s">
        <v>23</v>
      </c>
      <c r="C79">
        <v>3</v>
      </c>
      <c r="D79">
        <v>1826.8659299999999</v>
      </c>
      <c r="E79">
        <v>61.62</v>
      </c>
      <c r="F79">
        <v>36.97</v>
      </c>
      <c r="G79">
        <v>74.099999999999994</v>
      </c>
      <c r="I79">
        <f>VLOOKUP(D79,WLReference!$A$2:$B$258,2,FALSE)</f>
        <v>118</v>
      </c>
      <c r="K79" s="11">
        <v>1692.1661839999999</v>
      </c>
      <c r="L79">
        <v>92.07</v>
      </c>
      <c r="M79">
        <v>1</v>
      </c>
      <c r="U79" t="s">
        <v>14</v>
      </c>
      <c r="V79" t="s">
        <v>23</v>
      </c>
      <c r="W79">
        <v>2</v>
      </c>
      <c r="X79">
        <v>2448.0000340000001</v>
      </c>
      <c r="AA79">
        <v>49.58</v>
      </c>
      <c r="AC79" t="s">
        <v>13</v>
      </c>
      <c r="AD79" t="s">
        <v>23</v>
      </c>
      <c r="AE79">
        <v>3</v>
      </c>
      <c r="AF79">
        <v>1752.7449039999999</v>
      </c>
      <c r="AG79">
        <v>52.38</v>
      </c>
      <c r="AH79">
        <v>33.9</v>
      </c>
      <c r="AI79">
        <v>74.010000000000005</v>
      </c>
      <c r="AK79" t="s">
        <v>14</v>
      </c>
      <c r="AL79" t="s">
        <v>23</v>
      </c>
      <c r="AM79">
        <v>2</v>
      </c>
      <c r="AN79">
        <v>2448.0000340000001</v>
      </c>
      <c r="AQ79">
        <v>49.58</v>
      </c>
    </row>
    <row r="80" spans="1:43" x14ac:dyDescent="0.25">
      <c r="A80" t="s">
        <v>13</v>
      </c>
      <c r="B80" t="s">
        <v>23</v>
      </c>
      <c r="C80">
        <v>3</v>
      </c>
      <c r="D80">
        <v>1752.7449039999999</v>
      </c>
      <c r="E80">
        <v>52.38</v>
      </c>
      <c r="F80">
        <v>33.9</v>
      </c>
      <c r="G80">
        <v>74.010000000000005</v>
      </c>
      <c r="I80">
        <f>VLOOKUP(D80,WLReference!$A$2:$B$258,2,FALSE)</f>
        <v>135</v>
      </c>
      <c r="K80" s="11">
        <v>1462.948523</v>
      </c>
      <c r="L80">
        <v>77.58</v>
      </c>
      <c r="M80">
        <v>1</v>
      </c>
      <c r="U80" t="s">
        <v>14</v>
      </c>
      <c r="V80" t="s">
        <v>23</v>
      </c>
      <c r="W80">
        <v>2</v>
      </c>
      <c r="X80">
        <v>1808.8672570000001</v>
      </c>
      <c r="AA80">
        <v>48.84</v>
      </c>
      <c r="AC80" t="s">
        <v>13</v>
      </c>
      <c r="AD80" t="s">
        <v>23</v>
      </c>
      <c r="AE80">
        <v>3</v>
      </c>
      <c r="AF80">
        <v>1822.3327650000001</v>
      </c>
      <c r="AG80">
        <v>63.84</v>
      </c>
      <c r="AH80">
        <v>28.38</v>
      </c>
      <c r="AI80">
        <v>73.75</v>
      </c>
      <c r="AK80" t="s">
        <v>14</v>
      </c>
      <c r="AL80" t="s">
        <v>23</v>
      </c>
      <c r="AM80">
        <v>2</v>
      </c>
      <c r="AN80">
        <v>1808.8672570000001</v>
      </c>
      <c r="AQ80">
        <v>48.84</v>
      </c>
    </row>
    <row r="81" spans="1:43" x14ac:dyDescent="0.25">
      <c r="A81" t="s">
        <v>13</v>
      </c>
      <c r="B81" t="s">
        <v>23</v>
      </c>
      <c r="C81">
        <v>3</v>
      </c>
      <c r="D81">
        <v>1822.3327650000001</v>
      </c>
      <c r="E81">
        <v>63.84</v>
      </c>
      <c r="F81">
        <v>28.38</v>
      </c>
      <c r="G81">
        <v>73.75</v>
      </c>
      <c r="I81">
        <f>VLOOKUP(D81,WLReference!$A$2:$B$258,2,FALSE)</f>
        <v>119</v>
      </c>
      <c r="K81" s="11">
        <v>1409.5972489999999</v>
      </c>
      <c r="L81">
        <v>79.739999999999995</v>
      </c>
      <c r="M81">
        <v>1</v>
      </c>
      <c r="U81" t="s">
        <v>14</v>
      </c>
      <c r="V81" t="s">
        <v>23</v>
      </c>
      <c r="W81">
        <v>2</v>
      </c>
      <c r="X81">
        <v>2141.1080360000001</v>
      </c>
      <c r="AA81">
        <v>48.47</v>
      </c>
      <c r="AC81" t="s">
        <v>13</v>
      </c>
      <c r="AD81" t="s">
        <v>23</v>
      </c>
      <c r="AE81">
        <v>3</v>
      </c>
      <c r="AF81">
        <v>1657.788102</v>
      </c>
      <c r="AG81">
        <v>73.650000000000006</v>
      </c>
      <c r="AH81">
        <v>50.89</v>
      </c>
      <c r="AI81">
        <v>53.53</v>
      </c>
      <c r="AK81" t="s">
        <v>14</v>
      </c>
      <c r="AL81" t="s">
        <v>23</v>
      </c>
      <c r="AM81">
        <v>2</v>
      </c>
      <c r="AN81">
        <v>2141.1080360000001</v>
      </c>
      <c r="AQ81">
        <v>48.47</v>
      </c>
    </row>
    <row r="82" spans="1:43" x14ac:dyDescent="0.25">
      <c r="A82" t="s">
        <v>13</v>
      </c>
      <c r="B82" t="s">
        <v>23</v>
      </c>
      <c r="C82">
        <v>3</v>
      </c>
      <c r="D82">
        <v>1657.788102</v>
      </c>
      <c r="E82">
        <v>73.650000000000006</v>
      </c>
      <c r="F82">
        <v>50.89</v>
      </c>
      <c r="G82">
        <v>53.53</v>
      </c>
      <c r="I82">
        <f>VLOOKUP(D82,WLReference!$A$2:$B$258,2,FALSE)</f>
        <v>159</v>
      </c>
      <c r="K82" s="11">
        <v>2116.4266859999998</v>
      </c>
      <c r="L82">
        <v>71.72</v>
      </c>
      <c r="M82">
        <v>1</v>
      </c>
    </row>
    <row r="83" spans="1:43" x14ac:dyDescent="0.25">
      <c r="A83" t="s">
        <v>8</v>
      </c>
      <c r="B83" t="s">
        <v>22</v>
      </c>
      <c r="C83">
        <v>2</v>
      </c>
      <c r="D83">
        <v>2153.665849</v>
      </c>
      <c r="G83">
        <v>100</v>
      </c>
      <c r="I83">
        <f>VLOOKUP(D83,WLReference!$A$2:$B$258,2,FALSE)</f>
        <v>57</v>
      </c>
      <c r="K83" s="11">
        <v>1635.635039</v>
      </c>
      <c r="L83">
        <v>70.41</v>
      </c>
      <c r="M83">
        <v>1</v>
      </c>
    </row>
    <row r="84" spans="1:43" x14ac:dyDescent="0.25">
      <c r="A84" t="s">
        <v>8</v>
      </c>
      <c r="B84" t="s">
        <v>22</v>
      </c>
      <c r="C84">
        <v>2</v>
      </c>
      <c r="D84">
        <v>1511.1114219999999</v>
      </c>
      <c r="G84">
        <v>91.7</v>
      </c>
      <c r="I84">
        <f>VLOOKUP(D84,WLReference!$A$2:$B$258,2,FALSE)</f>
        <v>202</v>
      </c>
      <c r="K84" s="11">
        <v>1428.794093</v>
      </c>
      <c r="L84">
        <v>68.14</v>
      </c>
      <c r="M84">
        <v>1</v>
      </c>
    </row>
    <row r="85" spans="1:43" x14ac:dyDescent="0.25">
      <c r="A85" t="s">
        <v>8</v>
      </c>
      <c r="B85" t="s">
        <v>22</v>
      </c>
      <c r="C85">
        <v>2</v>
      </c>
      <c r="D85">
        <v>2400.0000570000002</v>
      </c>
      <c r="G85">
        <v>84.95</v>
      </c>
      <c r="I85">
        <f>VLOOKUP(D85,WLReference!$A$2:$B$258,2,FALSE)</f>
        <v>22</v>
      </c>
      <c r="K85" s="11">
        <v>2497.9591930000001</v>
      </c>
      <c r="L85">
        <v>16.73</v>
      </c>
      <c r="M85">
        <v>1</v>
      </c>
    </row>
    <row r="86" spans="1:43" x14ac:dyDescent="0.25">
      <c r="A86" t="s">
        <v>8</v>
      </c>
      <c r="B86" t="s">
        <v>22</v>
      </c>
      <c r="C86">
        <v>2</v>
      </c>
      <c r="D86">
        <v>2160.0001579999998</v>
      </c>
      <c r="G86">
        <v>80.34</v>
      </c>
      <c r="I86">
        <f>VLOOKUP(D86,WLReference!$A$2:$B$258,2,FALSE)</f>
        <v>56</v>
      </c>
      <c r="K86" s="11">
        <v>2028.729484</v>
      </c>
      <c r="L86">
        <v>68.11</v>
      </c>
      <c r="M86">
        <v>1</v>
      </c>
    </row>
    <row r="87" spans="1:43" x14ac:dyDescent="0.25">
      <c r="A87" t="s">
        <v>8</v>
      </c>
      <c r="B87" t="s">
        <v>22</v>
      </c>
      <c r="C87">
        <v>2</v>
      </c>
      <c r="D87">
        <v>2407.8689060000002</v>
      </c>
      <c r="G87">
        <v>76.87</v>
      </c>
      <c r="I87">
        <f>VLOOKUP(D87,WLReference!$A$2:$B$258,2,FALSE)</f>
        <v>21</v>
      </c>
      <c r="K87" s="11">
        <v>1412.308012</v>
      </c>
      <c r="L87">
        <v>64.11</v>
      </c>
      <c r="M87">
        <v>1</v>
      </c>
    </row>
    <row r="88" spans="1:43" x14ac:dyDescent="0.25">
      <c r="A88" t="s">
        <v>8</v>
      </c>
      <c r="B88" t="s">
        <v>22</v>
      </c>
      <c r="C88">
        <v>2</v>
      </c>
      <c r="D88">
        <v>1471.743802</v>
      </c>
      <c r="G88">
        <v>76.61</v>
      </c>
      <c r="I88">
        <f>VLOOKUP(D88,WLReference!$A$2:$B$258,2,FALSE)</f>
        <v>215</v>
      </c>
      <c r="K88" s="11">
        <v>2431.7881219999999</v>
      </c>
      <c r="L88">
        <v>67.02</v>
      </c>
      <c r="M88">
        <v>1</v>
      </c>
    </row>
    <row r="89" spans="1:43" x14ac:dyDescent="0.25">
      <c r="A89" t="s">
        <v>8</v>
      </c>
      <c r="B89" t="s">
        <v>22</v>
      </c>
      <c r="C89">
        <v>2</v>
      </c>
      <c r="D89">
        <v>2456.1873209999999</v>
      </c>
      <c r="G89">
        <v>72.16</v>
      </c>
      <c r="I89">
        <f>VLOOKUP(D89,WLReference!$A$2:$B$258,2,FALSE)</f>
        <v>15</v>
      </c>
      <c r="K89" s="11">
        <v>1360.0003220000001</v>
      </c>
      <c r="L89">
        <v>91.04</v>
      </c>
      <c r="M89">
        <v>1</v>
      </c>
    </row>
    <row r="90" spans="1:43" x14ac:dyDescent="0.25">
      <c r="A90" t="s">
        <v>8</v>
      </c>
      <c r="B90" t="s">
        <v>22</v>
      </c>
      <c r="C90">
        <v>2</v>
      </c>
      <c r="D90">
        <v>1533.194463</v>
      </c>
      <c r="G90">
        <v>72.08</v>
      </c>
      <c r="I90">
        <f>VLOOKUP(D90,WLReference!$A$2:$B$258,2,FALSE)</f>
        <v>195</v>
      </c>
      <c r="K90" s="11">
        <v>1465.868579</v>
      </c>
      <c r="L90">
        <v>66.83</v>
      </c>
      <c r="M90">
        <v>1</v>
      </c>
    </row>
    <row r="91" spans="1:43" x14ac:dyDescent="0.25">
      <c r="A91" t="s">
        <v>8</v>
      </c>
      <c r="B91" t="s">
        <v>22</v>
      </c>
      <c r="C91">
        <v>2</v>
      </c>
      <c r="D91">
        <v>2141.1080360000001</v>
      </c>
      <c r="G91">
        <v>70.180000000000007</v>
      </c>
      <c r="I91">
        <f>VLOOKUP(D91,WLReference!$A$2:$B$258,2,FALSE)</f>
        <v>59</v>
      </c>
      <c r="K91" s="11">
        <v>1624.7790580000001</v>
      </c>
      <c r="L91">
        <v>33.78</v>
      </c>
      <c r="M91">
        <v>1</v>
      </c>
    </row>
    <row r="92" spans="1:43" x14ac:dyDescent="0.25">
      <c r="A92" t="s">
        <v>8</v>
      </c>
      <c r="B92" t="s">
        <v>22</v>
      </c>
      <c r="C92">
        <v>2</v>
      </c>
      <c r="D92">
        <v>1669.091199</v>
      </c>
      <c r="G92">
        <v>69.739999999999995</v>
      </c>
      <c r="I92">
        <f>VLOOKUP(D92,WLReference!$A$2:$B$258,2,FALSE)</f>
        <v>156</v>
      </c>
      <c r="K92" s="11">
        <v>1533.194463</v>
      </c>
      <c r="L92">
        <v>72.08</v>
      </c>
      <c r="M92">
        <v>1</v>
      </c>
    </row>
    <row r="93" spans="1:43" x14ac:dyDescent="0.25">
      <c r="A93" t="s">
        <v>8</v>
      </c>
      <c r="B93" t="s">
        <v>22</v>
      </c>
      <c r="C93">
        <v>2</v>
      </c>
      <c r="D93">
        <v>1495.7233269999999</v>
      </c>
      <c r="G93">
        <v>69.569999999999993</v>
      </c>
      <c r="I93">
        <f>VLOOKUP(D93,WLReference!$A$2:$B$258,2,FALSE)</f>
        <v>207</v>
      </c>
      <c r="K93" s="11">
        <v>1826.8659299999999</v>
      </c>
      <c r="L93">
        <v>74.099999999999994</v>
      </c>
      <c r="M93">
        <v>1</v>
      </c>
    </row>
    <row r="94" spans="1:43" x14ac:dyDescent="0.25">
      <c r="A94" t="s">
        <v>8</v>
      </c>
      <c r="B94" t="s">
        <v>22</v>
      </c>
      <c r="C94">
        <v>2</v>
      </c>
      <c r="D94">
        <v>2172.7812180000001</v>
      </c>
      <c r="G94">
        <v>69.400000000000006</v>
      </c>
      <c r="I94">
        <f>VLOOKUP(D94,WLReference!$A$2:$B$258,2,FALSE)</f>
        <v>54</v>
      </c>
      <c r="K94" s="11">
        <v>2017.5826239999999</v>
      </c>
      <c r="L94">
        <v>67.989999999999995</v>
      </c>
      <c r="M94">
        <v>1</v>
      </c>
    </row>
    <row r="95" spans="1:43" x14ac:dyDescent="0.25">
      <c r="A95" t="s">
        <v>8</v>
      </c>
      <c r="B95" t="s">
        <v>22</v>
      </c>
      <c r="C95">
        <v>2</v>
      </c>
      <c r="D95">
        <v>1661.538753</v>
      </c>
      <c r="G95">
        <v>68.39</v>
      </c>
      <c r="I95">
        <f>VLOOKUP(D95,WLReference!$A$2:$B$258,2,FALSE)</f>
        <v>158</v>
      </c>
      <c r="K95" s="11">
        <v>1657.788102</v>
      </c>
      <c r="L95">
        <v>53.53</v>
      </c>
      <c r="M95">
        <v>1</v>
      </c>
    </row>
    <row r="96" spans="1:43" x14ac:dyDescent="0.25">
      <c r="A96" t="s">
        <v>8</v>
      </c>
      <c r="B96" t="s">
        <v>22</v>
      </c>
      <c r="C96">
        <v>2</v>
      </c>
      <c r="D96">
        <v>2017.5826239999999</v>
      </c>
      <c r="G96">
        <v>67.989999999999995</v>
      </c>
      <c r="I96">
        <f>VLOOKUP(D96,WLReference!$A$2:$B$258,2,FALSE)</f>
        <v>80</v>
      </c>
      <c r="K96" s="11">
        <v>1878.261115</v>
      </c>
      <c r="L96">
        <v>69.56</v>
      </c>
      <c r="M96">
        <v>1</v>
      </c>
    </row>
    <row r="97" spans="1:13" x14ac:dyDescent="0.25">
      <c r="A97" t="s">
        <v>8</v>
      </c>
      <c r="B97" t="s">
        <v>22</v>
      </c>
      <c r="C97">
        <v>2</v>
      </c>
      <c r="D97">
        <v>2001.09013</v>
      </c>
      <c r="G97">
        <v>67.86</v>
      </c>
      <c r="I97">
        <f>VLOOKUP(D97,WLReference!$A$2:$B$258,2,FALSE)</f>
        <v>83</v>
      </c>
      <c r="K97" s="11">
        <v>2192.2389520000002</v>
      </c>
      <c r="L97">
        <v>54.01</v>
      </c>
      <c r="M97">
        <v>1</v>
      </c>
    </row>
    <row r="98" spans="1:13" x14ac:dyDescent="0.25">
      <c r="A98" t="s">
        <v>8</v>
      </c>
      <c r="B98" t="s">
        <v>22</v>
      </c>
      <c r="C98">
        <v>2</v>
      </c>
      <c r="D98">
        <v>1800.000264</v>
      </c>
      <c r="G98">
        <v>67.17</v>
      </c>
      <c r="I98">
        <f>VLOOKUP(D98,WLReference!$A$2:$B$258,2,FALSE)</f>
        <v>124</v>
      </c>
      <c r="K98" s="11">
        <v>2068.7325839999999</v>
      </c>
      <c r="L98">
        <v>27.35</v>
      </c>
      <c r="M98">
        <v>1</v>
      </c>
    </row>
    <row r="99" spans="1:13" x14ac:dyDescent="0.25">
      <c r="A99" t="s">
        <v>8</v>
      </c>
      <c r="B99" t="s">
        <v>22</v>
      </c>
      <c r="C99">
        <v>2</v>
      </c>
      <c r="D99">
        <v>1912.500237</v>
      </c>
      <c r="G99">
        <v>65.75</v>
      </c>
      <c r="I99">
        <f>VLOOKUP(D99,WLReference!$A$2:$B$258,2,FALSE)</f>
        <v>100</v>
      </c>
      <c r="K99" s="11">
        <v>1642.9533140000001</v>
      </c>
      <c r="L99">
        <v>51.3</v>
      </c>
      <c r="M99">
        <v>1</v>
      </c>
    </row>
    <row r="100" spans="1:13" x14ac:dyDescent="0.25">
      <c r="A100" t="s">
        <v>8</v>
      </c>
      <c r="B100" t="s">
        <v>22</v>
      </c>
      <c r="C100">
        <v>2</v>
      </c>
      <c r="D100">
        <v>1468.800315</v>
      </c>
      <c r="G100">
        <v>63.45</v>
      </c>
      <c r="I100">
        <f>VLOOKUP(D100,WLReference!$A$2:$B$258,2,FALSE)</f>
        <v>216</v>
      </c>
      <c r="K100" s="11">
        <v>2472.7272950000001</v>
      </c>
      <c r="L100">
        <v>82.6</v>
      </c>
      <c r="M100">
        <v>1</v>
      </c>
    </row>
    <row r="101" spans="1:13" x14ac:dyDescent="0.25">
      <c r="A101" t="s">
        <v>8</v>
      </c>
      <c r="B101" t="s">
        <v>22</v>
      </c>
      <c r="C101">
        <v>2</v>
      </c>
      <c r="D101">
        <v>2166.3718370000001</v>
      </c>
      <c r="G101">
        <v>63.34</v>
      </c>
      <c r="I101">
        <f>VLOOKUP(D101,WLReference!$A$2:$B$258,2,FALSE)</f>
        <v>55</v>
      </c>
      <c r="K101" s="11">
        <v>1672.8932279999999</v>
      </c>
      <c r="L101">
        <v>49.62</v>
      </c>
      <c r="M101">
        <v>1</v>
      </c>
    </row>
    <row r="102" spans="1:13" x14ac:dyDescent="0.25">
      <c r="A102" t="s">
        <v>8</v>
      </c>
      <c r="B102" t="s">
        <v>22</v>
      </c>
      <c r="C102">
        <v>2</v>
      </c>
      <c r="D102">
        <v>2295.0001040000002</v>
      </c>
      <c r="G102">
        <v>63.18</v>
      </c>
      <c r="I102">
        <f>VLOOKUP(D102,WLReference!$A$2:$B$258,2,FALSE)</f>
        <v>36</v>
      </c>
      <c r="K102" s="11">
        <v>1711.8883940000001</v>
      </c>
      <c r="L102">
        <v>12.47</v>
      </c>
      <c r="M102">
        <v>1</v>
      </c>
    </row>
    <row r="103" spans="1:13" x14ac:dyDescent="0.25">
      <c r="A103" t="s">
        <v>10</v>
      </c>
      <c r="B103" t="s">
        <v>22</v>
      </c>
      <c r="C103">
        <v>2</v>
      </c>
      <c r="D103">
        <v>2160.0001579999998</v>
      </c>
      <c r="G103">
        <v>100</v>
      </c>
      <c r="I103">
        <f>VLOOKUP(D103,WLReference!$A$2:$B$258,2,FALSE)</f>
        <v>56</v>
      </c>
      <c r="K103" s="11">
        <v>1808.8672570000001</v>
      </c>
      <c r="L103">
        <v>48.84</v>
      </c>
      <c r="M103">
        <v>1</v>
      </c>
    </row>
    <row r="104" spans="1:13" x14ac:dyDescent="0.25">
      <c r="A104" t="s">
        <v>10</v>
      </c>
      <c r="B104" t="s">
        <v>22</v>
      </c>
      <c r="C104">
        <v>2</v>
      </c>
      <c r="D104">
        <v>2147.3685829999999</v>
      </c>
      <c r="G104">
        <v>96.51</v>
      </c>
      <c r="I104">
        <f>VLOOKUP(D104,WLReference!$A$2:$B$258,2,FALSE)</f>
        <v>58</v>
      </c>
      <c r="K104" s="11">
        <v>2316.7193379999999</v>
      </c>
      <c r="L104">
        <v>24.67</v>
      </c>
      <c r="M104">
        <v>1</v>
      </c>
    </row>
    <row r="105" spans="1:13" x14ac:dyDescent="0.25">
      <c r="A105" t="s">
        <v>10</v>
      </c>
      <c r="B105" t="s">
        <v>22</v>
      </c>
      <c r="C105">
        <v>2</v>
      </c>
      <c r="D105">
        <v>2153.665849</v>
      </c>
      <c r="G105">
        <v>90.85</v>
      </c>
      <c r="I105">
        <f>VLOOKUP(D105,WLReference!$A$2:$B$258,2,FALSE)</f>
        <v>57</v>
      </c>
      <c r="K105" s="11">
        <v>1984.8650809999999</v>
      </c>
      <c r="L105">
        <v>55.07</v>
      </c>
      <c r="M105">
        <v>1</v>
      </c>
    </row>
    <row r="106" spans="1:13" x14ac:dyDescent="0.25">
      <c r="A106" t="s">
        <v>10</v>
      </c>
      <c r="B106" t="s">
        <v>22</v>
      </c>
      <c r="C106">
        <v>2</v>
      </c>
      <c r="D106">
        <v>2141.1080360000001</v>
      </c>
      <c r="G106">
        <v>89.63</v>
      </c>
      <c r="I106">
        <f>VLOOKUP(D106,WLReference!$A$2:$B$258,2,FALSE)</f>
        <v>59</v>
      </c>
      <c r="K106" s="11" t="s">
        <v>16</v>
      </c>
      <c r="L106">
        <v>65.991124999999982</v>
      </c>
      <c r="M106">
        <v>160</v>
      </c>
    </row>
    <row r="107" spans="1:13" x14ac:dyDescent="0.25">
      <c r="A107" t="s">
        <v>10</v>
      </c>
      <c r="B107" t="s">
        <v>22</v>
      </c>
      <c r="C107">
        <v>2</v>
      </c>
      <c r="D107">
        <v>2128.6958209999998</v>
      </c>
      <c r="G107">
        <v>84.83</v>
      </c>
      <c r="I107">
        <f>VLOOKUP(D107,WLReference!$A$2:$B$258,2,FALSE)</f>
        <v>61</v>
      </c>
    </row>
    <row r="108" spans="1:13" x14ac:dyDescent="0.25">
      <c r="A108" t="s">
        <v>10</v>
      </c>
      <c r="B108" t="s">
        <v>22</v>
      </c>
      <c r="C108">
        <v>2</v>
      </c>
      <c r="D108">
        <v>2122.5435240000002</v>
      </c>
      <c r="G108">
        <v>83.6</v>
      </c>
      <c r="I108">
        <f>VLOOKUP(D108,WLReference!$A$2:$B$258,2,FALSE)</f>
        <v>62</v>
      </c>
    </row>
    <row r="109" spans="1:13" x14ac:dyDescent="0.25">
      <c r="A109" t="s">
        <v>10</v>
      </c>
      <c r="B109" t="s">
        <v>22</v>
      </c>
      <c r="C109">
        <v>2</v>
      </c>
      <c r="D109">
        <v>2134.8838879999998</v>
      </c>
      <c r="G109">
        <v>80.900000000000006</v>
      </c>
      <c r="I109">
        <f>VLOOKUP(D109,WLReference!$A$2:$B$258,2,FALSE)</f>
        <v>60</v>
      </c>
    </row>
    <row r="110" spans="1:13" x14ac:dyDescent="0.25">
      <c r="A110" t="s">
        <v>10</v>
      </c>
      <c r="B110" t="s">
        <v>22</v>
      </c>
      <c r="C110">
        <v>2</v>
      </c>
      <c r="D110">
        <v>2023.1406999999999</v>
      </c>
      <c r="G110">
        <v>77.709999999999994</v>
      </c>
      <c r="I110">
        <f>VLOOKUP(D110,WLReference!$A$2:$B$258,2,FALSE)</f>
        <v>79</v>
      </c>
    </row>
    <row r="111" spans="1:13" x14ac:dyDescent="0.25">
      <c r="A111" t="s">
        <v>10</v>
      </c>
      <c r="B111" t="s">
        <v>22</v>
      </c>
      <c r="C111">
        <v>2</v>
      </c>
      <c r="D111">
        <v>1462.948523</v>
      </c>
      <c r="G111">
        <v>77.58</v>
      </c>
      <c r="I111">
        <f>VLOOKUP(D111,WLReference!$A$2:$B$258,2,FALSE)</f>
        <v>218</v>
      </c>
    </row>
    <row r="112" spans="1:13" x14ac:dyDescent="0.25">
      <c r="A112" t="s">
        <v>10</v>
      </c>
      <c r="B112" t="s">
        <v>22</v>
      </c>
      <c r="C112">
        <v>2</v>
      </c>
      <c r="D112">
        <v>2384.415649</v>
      </c>
      <c r="G112">
        <v>73.36</v>
      </c>
      <c r="I112">
        <f>VLOOKUP(D112,WLReference!$A$2:$B$258,2,FALSE)</f>
        <v>24</v>
      </c>
    </row>
    <row r="113" spans="1:9" x14ac:dyDescent="0.25">
      <c r="A113" t="s">
        <v>10</v>
      </c>
      <c r="B113" t="s">
        <v>22</v>
      </c>
      <c r="C113">
        <v>2</v>
      </c>
      <c r="D113">
        <v>2415.7895229999999</v>
      </c>
      <c r="G113">
        <v>72.010000000000005</v>
      </c>
      <c r="I113">
        <f>VLOOKUP(D113,WLReference!$A$2:$B$258,2,FALSE)</f>
        <v>20</v>
      </c>
    </row>
    <row r="114" spans="1:9" x14ac:dyDescent="0.25">
      <c r="A114" t="s">
        <v>10</v>
      </c>
      <c r="B114" t="s">
        <v>22</v>
      </c>
      <c r="C114">
        <v>2</v>
      </c>
      <c r="D114">
        <v>2116.4266859999998</v>
      </c>
      <c r="G114">
        <v>71.72</v>
      </c>
      <c r="I114">
        <f>VLOOKUP(D114,WLReference!$A$2:$B$258,2,FALSE)</f>
        <v>63</v>
      </c>
    </row>
    <row r="115" spans="1:9" x14ac:dyDescent="0.25">
      <c r="A115" t="s">
        <v>10</v>
      </c>
      <c r="B115" t="s">
        <v>22</v>
      </c>
      <c r="C115">
        <v>2</v>
      </c>
      <c r="D115">
        <v>2400.0000570000002</v>
      </c>
      <c r="G115">
        <v>69.16</v>
      </c>
      <c r="I115">
        <f>VLOOKUP(D115,WLReference!$A$2:$B$258,2,FALSE)</f>
        <v>22</v>
      </c>
    </row>
    <row r="116" spans="1:9" x14ac:dyDescent="0.25">
      <c r="A116" t="s">
        <v>10</v>
      </c>
      <c r="B116" t="s">
        <v>22</v>
      </c>
      <c r="C116">
        <v>2</v>
      </c>
      <c r="D116">
        <v>2407.8689060000002</v>
      </c>
      <c r="G116">
        <v>98.98</v>
      </c>
      <c r="I116">
        <f>VLOOKUP(D116,WLReference!$A$2:$B$258,2,FALSE)</f>
        <v>21</v>
      </c>
    </row>
    <row r="117" spans="1:9" x14ac:dyDescent="0.25">
      <c r="A117" t="s">
        <v>10</v>
      </c>
      <c r="B117" t="s">
        <v>22</v>
      </c>
      <c r="C117">
        <v>2</v>
      </c>
      <c r="D117">
        <v>1428.794093</v>
      </c>
      <c r="G117">
        <v>68.14</v>
      </c>
      <c r="I117">
        <f>VLOOKUP(D117,WLReference!$A$2:$B$258,2,FALSE)</f>
        <v>230</v>
      </c>
    </row>
    <row r="118" spans="1:9" x14ac:dyDescent="0.25">
      <c r="A118" t="s">
        <v>10</v>
      </c>
      <c r="B118" t="s">
        <v>22</v>
      </c>
      <c r="C118">
        <v>2</v>
      </c>
      <c r="D118">
        <v>2028.729484</v>
      </c>
      <c r="G118">
        <v>68.11</v>
      </c>
      <c r="I118">
        <f>VLOOKUP(D118,WLReference!$A$2:$B$258,2,FALSE)</f>
        <v>78</v>
      </c>
    </row>
    <row r="119" spans="1:9" x14ac:dyDescent="0.25">
      <c r="A119" t="s">
        <v>10</v>
      </c>
      <c r="B119" t="s">
        <v>22</v>
      </c>
      <c r="C119">
        <v>2</v>
      </c>
      <c r="D119">
        <v>2431.7881219999999</v>
      </c>
      <c r="G119">
        <v>67.02</v>
      </c>
      <c r="I119">
        <f>VLOOKUP(D119,WLReference!$A$2:$B$258,2,FALSE)</f>
        <v>18</v>
      </c>
    </row>
    <row r="120" spans="1:9" x14ac:dyDescent="0.25">
      <c r="A120" t="s">
        <v>10</v>
      </c>
      <c r="B120" t="s">
        <v>22</v>
      </c>
      <c r="C120">
        <v>2</v>
      </c>
      <c r="D120">
        <v>1465.868579</v>
      </c>
      <c r="G120">
        <v>66.83</v>
      </c>
      <c r="I120">
        <f>VLOOKUP(D120,WLReference!$A$2:$B$258,2,FALSE)</f>
        <v>217</v>
      </c>
    </row>
    <row r="121" spans="1:9" x14ac:dyDescent="0.25">
      <c r="A121" t="s">
        <v>10</v>
      </c>
      <c r="B121" t="s">
        <v>22</v>
      </c>
      <c r="C121">
        <v>2</v>
      </c>
      <c r="D121">
        <v>2376.6990970000002</v>
      </c>
      <c r="G121">
        <v>66.2</v>
      </c>
      <c r="I121">
        <f>VLOOKUP(D121,WLReference!$A$2:$B$258,2,FALSE)</f>
        <v>25</v>
      </c>
    </row>
    <row r="122" spans="1:9" x14ac:dyDescent="0.25">
      <c r="A122" t="s">
        <v>10</v>
      </c>
      <c r="B122" t="s">
        <v>22</v>
      </c>
      <c r="C122">
        <v>2</v>
      </c>
      <c r="D122">
        <v>2423.7624219999998</v>
      </c>
      <c r="G122">
        <v>63.67</v>
      </c>
      <c r="I122">
        <f>VLOOKUP(D122,WLReference!$A$2:$B$258,2,FALSE)</f>
        <v>19</v>
      </c>
    </row>
    <row r="123" spans="1:9" x14ac:dyDescent="0.25">
      <c r="A123" t="s">
        <v>12</v>
      </c>
      <c r="B123" t="s">
        <v>23</v>
      </c>
      <c r="C123">
        <v>2</v>
      </c>
      <c r="D123">
        <v>1696.074188</v>
      </c>
      <c r="G123">
        <v>100</v>
      </c>
      <c r="I123">
        <f>VLOOKUP(D123,WLReference!$A$2:$B$258,2,FALSE)</f>
        <v>149</v>
      </c>
    </row>
    <row r="124" spans="1:9" x14ac:dyDescent="0.25">
      <c r="A124" t="s">
        <v>12</v>
      </c>
      <c r="B124" t="s">
        <v>23</v>
      </c>
      <c r="C124">
        <v>2</v>
      </c>
      <c r="D124">
        <v>2361.4148660000001</v>
      </c>
      <c r="G124">
        <v>97.8</v>
      </c>
      <c r="I124">
        <f>VLOOKUP(D124,WLReference!$A$2:$B$258,2,FALSE)</f>
        <v>27</v>
      </c>
    </row>
    <row r="125" spans="1:9" x14ac:dyDescent="0.25">
      <c r="A125" t="s">
        <v>12</v>
      </c>
      <c r="B125" t="s">
        <v>23</v>
      </c>
      <c r="C125">
        <v>2</v>
      </c>
      <c r="D125">
        <v>2001.09013</v>
      </c>
      <c r="G125">
        <v>92.57</v>
      </c>
      <c r="I125">
        <f>VLOOKUP(D125,WLReference!$A$2:$B$258,2,FALSE)</f>
        <v>83</v>
      </c>
    </row>
    <row r="126" spans="1:9" x14ac:dyDescent="0.25">
      <c r="A126" t="s">
        <v>12</v>
      </c>
      <c r="B126" t="s">
        <v>23</v>
      </c>
      <c r="C126">
        <v>2</v>
      </c>
      <c r="D126">
        <v>1692.1661839999999</v>
      </c>
      <c r="G126">
        <v>92.07</v>
      </c>
      <c r="I126">
        <f>VLOOKUP(D126,WLReference!$A$2:$B$258,2,FALSE)</f>
        <v>150</v>
      </c>
    </row>
    <row r="127" spans="1:9" x14ac:dyDescent="0.25">
      <c r="A127" t="s">
        <v>12</v>
      </c>
      <c r="B127" t="s">
        <v>23</v>
      </c>
      <c r="C127">
        <v>2</v>
      </c>
      <c r="D127">
        <v>2353.8462319999999</v>
      </c>
      <c r="G127">
        <v>89.68</v>
      </c>
      <c r="I127">
        <f>VLOOKUP(D127,WLReference!$A$2:$B$258,2,FALSE)</f>
        <v>28</v>
      </c>
    </row>
    <row r="128" spans="1:9" x14ac:dyDescent="0.25">
      <c r="A128" t="s">
        <v>12</v>
      </c>
      <c r="B128" t="s">
        <v>23</v>
      </c>
      <c r="C128">
        <v>2</v>
      </c>
      <c r="D128">
        <v>1963.6365860000001</v>
      </c>
      <c r="G128">
        <v>83.6</v>
      </c>
      <c r="I128">
        <f>VLOOKUP(D128,WLReference!$A$2:$B$258,2,FALSE)</f>
        <v>90</v>
      </c>
    </row>
    <row r="129" spans="1:9" x14ac:dyDescent="0.25">
      <c r="A129" t="s">
        <v>12</v>
      </c>
      <c r="B129" t="s">
        <v>23</v>
      </c>
      <c r="C129">
        <v>2</v>
      </c>
      <c r="D129">
        <v>2369.03233</v>
      </c>
      <c r="G129">
        <v>80.97</v>
      </c>
      <c r="I129">
        <f>VLOOKUP(D129,WLReference!$A$2:$B$258,2,FALSE)</f>
        <v>26</v>
      </c>
    </row>
    <row r="130" spans="1:9" x14ac:dyDescent="0.25">
      <c r="A130" t="s">
        <v>12</v>
      </c>
      <c r="B130" t="s">
        <v>23</v>
      </c>
      <c r="C130">
        <v>2</v>
      </c>
      <c r="D130">
        <v>1409.5972489999999</v>
      </c>
      <c r="G130">
        <v>79.739999999999995</v>
      </c>
      <c r="I130">
        <f>VLOOKUP(D130,WLReference!$A$2:$B$258,2,FALSE)</f>
        <v>237</v>
      </c>
    </row>
    <row r="131" spans="1:9" x14ac:dyDescent="0.25">
      <c r="A131" t="s">
        <v>12</v>
      </c>
      <c r="B131" t="s">
        <v>23</v>
      </c>
      <c r="C131">
        <v>2</v>
      </c>
      <c r="D131">
        <v>1700.000284</v>
      </c>
      <c r="G131">
        <v>79.489999999999995</v>
      </c>
      <c r="I131">
        <f>VLOOKUP(D131,WLReference!$A$2:$B$258,2,FALSE)</f>
        <v>148</v>
      </c>
    </row>
    <row r="132" spans="1:9" x14ac:dyDescent="0.25">
      <c r="A132" t="s">
        <v>12</v>
      </c>
      <c r="B132" t="s">
        <v>23</v>
      </c>
      <c r="C132">
        <v>2</v>
      </c>
      <c r="D132">
        <v>2006.557587</v>
      </c>
      <c r="G132">
        <v>77.930000000000007</v>
      </c>
      <c r="I132">
        <f>VLOOKUP(D132,WLReference!$A$2:$B$258,2,FALSE)</f>
        <v>82</v>
      </c>
    </row>
    <row r="133" spans="1:9" x14ac:dyDescent="0.25">
      <c r="A133" t="s">
        <v>12</v>
      </c>
      <c r="B133" t="s">
        <v>23</v>
      </c>
      <c r="C133">
        <v>2</v>
      </c>
      <c r="D133">
        <v>1958.400224</v>
      </c>
      <c r="G133">
        <v>77.47</v>
      </c>
      <c r="I133">
        <f>VLOOKUP(D133,WLReference!$A$2:$B$258,2,FALSE)</f>
        <v>91</v>
      </c>
    </row>
    <row r="134" spans="1:9" x14ac:dyDescent="0.25">
      <c r="A134" t="s">
        <v>12</v>
      </c>
      <c r="B134" t="s">
        <v>23</v>
      </c>
      <c r="C134">
        <v>2</v>
      </c>
      <c r="D134">
        <v>2346.3259600000001</v>
      </c>
      <c r="G134">
        <v>76.27</v>
      </c>
      <c r="I134">
        <f>VLOOKUP(D134,WLReference!$A$2:$B$258,2,FALSE)</f>
        <v>29</v>
      </c>
    </row>
    <row r="135" spans="1:9" x14ac:dyDescent="0.25">
      <c r="A135" t="s">
        <v>12</v>
      </c>
      <c r="B135" t="s">
        <v>23</v>
      </c>
      <c r="C135">
        <v>2</v>
      </c>
      <c r="D135">
        <v>1669.091199</v>
      </c>
      <c r="G135">
        <v>72.88</v>
      </c>
      <c r="I135">
        <f>VLOOKUP(D135,WLReference!$A$2:$B$258,2,FALSE)</f>
        <v>156</v>
      </c>
    </row>
    <row r="136" spans="1:9" x14ac:dyDescent="0.25">
      <c r="A136" t="s">
        <v>12</v>
      </c>
      <c r="B136" t="s">
        <v>23</v>
      </c>
      <c r="C136">
        <v>2</v>
      </c>
      <c r="D136">
        <v>1635.635039</v>
      </c>
      <c r="G136">
        <v>70.41</v>
      </c>
      <c r="I136">
        <f>VLOOKUP(D136,WLReference!$A$2:$B$258,2,FALSE)</f>
        <v>165</v>
      </c>
    </row>
    <row r="137" spans="1:9" x14ac:dyDescent="0.25">
      <c r="A137" t="s">
        <v>12</v>
      </c>
      <c r="B137" t="s">
        <v>23</v>
      </c>
      <c r="C137">
        <v>2</v>
      </c>
      <c r="D137">
        <v>1953.1917149999999</v>
      </c>
      <c r="G137">
        <v>69.489999999999995</v>
      </c>
      <c r="I137">
        <f>VLOOKUP(D137,WLReference!$A$2:$B$258,2,FALSE)</f>
        <v>92</v>
      </c>
    </row>
    <row r="138" spans="1:9" x14ac:dyDescent="0.25">
      <c r="A138" t="s">
        <v>12</v>
      </c>
      <c r="B138" t="s">
        <v>23</v>
      </c>
      <c r="C138">
        <v>2</v>
      </c>
      <c r="D138">
        <v>1632.0002959999999</v>
      </c>
      <c r="G138">
        <v>67.31</v>
      </c>
      <c r="I138">
        <f>VLOOKUP(D138,WLReference!$A$2:$B$258,2,FALSE)</f>
        <v>166</v>
      </c>
    </row>
    <row r="139" spans="1:9" x14ac:dyDescent="0.25">
      <c r="A139" t="s">
        <v>12</v>
      </c>
      <c r="B139" t="s">
        <v>23</v>
      </c>
      <c r="C139">
        <v>2</v>
      </c>
      <c r="D139">
        <v>1468.800315</v>
      </c>
      <c r="G139">
        <v>66.83</v>
      </c>
      <c r="I139">
        <f>VLOOKUP(D139,WLReference!$A$2:$B$258,2,FALSE)</f>
        <v>216</v>
      </c>
    </row>
    <row r="140" spans="1:9" x14ac:dyDescent="0.25">
      <c r="A140" t="s">
        <v>12</v>
      </c>
      <c r="B140" t="s">
        <v>23</v>
      </c>
      <c r="C140">
        <v>2</v>
      </c>
      <c r="D140">
        <v>1995.6523870000001</v>
      </c>
      <c r="G140">
        <v>65.12</v>
      </c>
      <c r="I140">
        <f>VLOOKUP(D140,WLReference!$A$2:$B$258,2,FALSE)</f>
        <v>84</v>
      </c>
    </row>
    <row r="141" spans="1:9" x14ac:dyDescent="0.25">
      <c r="A141" t="s">
        <v>12</v>
      </c>
      <c r="B141" t="s">
        <v>23</v>
      </c>
      <c r="C141">
        <v>2</v>
      </c>
      <c r="D141">
        <v>1471.743802</v>
      </c>
      <c r="G141">
        <v>64.290000000000006</v>
      </c>
      <c r="I141">
        <f>VLOOKUP(D141,WLReference!$A$2:$B$258,2,FALSE)</f>
        <v>215</v>
      </c>
    </row>
    <row r="142" spans="1:9" x14ac:dyDescent="0.25">
      <c r="A142" t="s">
        <v>12</v>
      </c>
      <c r="B142" t="s">
        <v>23</v>
      </c>
      <c r="C142">
        <v>2</v>
      </c>
      <c r="D142">
        <v>1412.308012</v>
      </c>
      <c r="G142">
        <v>64.11</v>
      </c>
      <c r="I142">
        <f>VLOOKUP(D142,WLReference!$A$2:$B$258,2,FALSE)</f>
        <v>236</v>
      </c>
    </row>
    <row r="143" spans="1:9" x14ac:dyDescent="0.25">
      <c r="A143" t="s">
        <v>14</v>
      </c>
      <c r="B143" t="s">
        <v>23</v>
      </c>
      <c r="C143">
        <v>2</v>
      </c>
      <c r="D143">
        <v>2166.3718370000001</v>
      </c>
      <c r="G143">
        <v>100</v>
      </c>
      <c r="I143">
        <f>VLOOKUP(D143,WLReference!$A$2:$B$258,2,FALSE)</f>
        <v>55</v>
      </c>
    </row>
    <row r="144" spans="1:9" x14ac:dyDescent="0.25">
      <c r="A144" t="s">
        <v>14</v>
      </c>
      <c r="B144" t="s">
        <v>23</v>
      </c>
      <c r="C144">
        <v>2</v>
      </c>
      <c r="D144">
        <v>2172.7812180000001</v>
      </c>
      <c r="G144">
        <v>92.59</v>
      </c>
      <c r="I144">
        <f>VLOOKUP(D144,WLReference!$A$2:$B$258,2,FALSE)</f>
        <v>54</v>
      </c>
    </row>
    <row r="145" spans="1:9" x14ac:dyDescent="0.25">
      <c r="A145" t="s">
        <v>14</v>
      </c>
      <c r="B145" t="s">
        <v>23</v>
      </c>
      <c r="C145">
        <v>2</v>
      </c>
      <c r="D145">
        <v>2160.0001579999998</v>
      </c>
      <c r="G145">
        <v>81.77</v>
      </c>
      <c r="I145">
        <f>VLOOKUP(D145,WLReference!$A$2:$B$258,2,FALSE)</f>
        <v>56</v>
      </c>
    </row>
    <row r="146" spans="1:9" x14ac:dyDescent="0.25">
      <c r="A146" t="s">
        <v>14</v>
      </c>
      <c r="B146" t="s">
        <v>23</v>
      </c>
      <c r="C146">
        <v>2</v>
      </c>
      <c r="D146">
        <v>2179.2286370000002</v>
      </c>
      <c r="G146">
        <v>77.77</v>
      </c>
      <c r="I146">
        <f>VLOOKUP(D146,WLReference!$A$2:$B$258,2,FALSE)</f>
        <v>53</v>
      </c>
    </row>
    <row r="147" spans="1:9" x14ac:dyDescent="0.25">
      <c r="A147" t="s">
        <v>14</v>
      </c>
      <c r="B147" t="s">
        <v>23</v>
      </c>
      <c r="C147">
        <v>2</v>
      </c>
      <c r="D147">
        <v>1661.538753</v>
      </c>
      <c r="G147">
        <v>71.23</v>
      </c>
      <c r="I147">
        <f>VLOOKUP(D147,WLReference!$A$2:$B$258,2,FALSE)</f>
        <v>158</v>
      </c>
    </row>
    <row r="148" spans="1:9" x14ac:dyDescent="0.25">
      <c r="A148" t="s">
        <v>14</v>
      </c>
      <c r="B148" t="s">
        <v>23</v>
      </c>
      <c r="C148">
        <v>2</v>
      </c>
      <c r="D148">
        <v>2153.665849</v>
      </c>
      <c r="G148">
        <v>66.55</v>
      </c>
      <c r="I148">
        <f>VLOOKUP(D148,WLReference!$A$2:$B$258,2,FALSE)</f>
        <v>57</v>
      </c>
    </row>
    <row r="149" spans="1:9" x14ac:dyDescent="0.25">
      <c r="A149" t="s">
        <v>14</v>
      </c>
      <c r="B149" t="s">
        <v>23</v>
      </c>
      <c r="C149">
        <v>2</v>
      </c>
      <c r="D149">
        <v>2185.714434</v>
      </c>
      <c r="G149">
        <v>65</v>
      </c>
      <c r="I149">
        <f>VLOOKUP(D149,WLReference!$A$2:$B$258,2,FALSE)</f>
        <v>52</v>
      </c>
    </row>
    <row r="150" spans="1:9" x14ac:dyDescent="0.25">
      <c r="A150" t="s">
        <v>14</v>
      </c>
      <c r="B150" t="s">
        <v>23</v>
      </c>
      <c r="C150">
        <v>2</v>
      </c>
      <c r="D150">
        <v>2122.5435240000002</v>
      </c>
      <c r="G150">
        <v>57.83</v>
      </c>
      <c r="I150">
        <f>VLOOKUP(D150,WLReference!$A$2:$B$258,2,FALSE)</f>
        <v>62</v>
      </c>
    </row>
    <row r="151" spans="1:9" x14ac:dyDescent="0.25">
      <c r="A151" t="s">
        <v>14</v>
      </c>
      <c r="B151" t="s">
        <v>23</v>
      </c>
      <c r="C151">
        <v>2</v>
      </c>
      <c r="D151">
        <v>2192.2389520000002</v>
      </c>
      <c r="G151">
        <v>54.01</v>
      </c>
      <c r="I151">
        <f>VLOOKUP(D151,WLReference!$A$2:$B$258,2,FALSE)</f>
        <v>51</v>
      </c>
    </row>
    <row r="152" spans="1:9" x14ac:dyDescent="0.25">
      <c r="A152" t="s">
        <v>14</v>
      </c>
      <c r="B152" t="s">
        <v>23</v>
      </c>
      <c r="C152">
        <v>2</v>
      </c>
      <c r="D152">
        <v>1822.3327650000001</v>
      </c>
      <c r="G152">
        <v>53.14</v>
      </c>
      <c r="I152">
        <f>VLOOKUP(D152,WLReference!$A$2:$B$258,2,FALSE)</f>
        <v>119</v>
      </c>
    </row>
    <row r="153" spans="1:9" x14ac:dyDescent="0.25">
      <c r="A153" t="s">
        <v>14</v>
      </c>
      <c r="B153" t="s">
        <v>23</v>
      </c>
      <c r="C153">
        <v>2</v>
      </c>
      <c r="D153">
        <v>2134.8838879999998</v>
      </c>
      <c r="G153">
        <v>51.96</v>
      </c>
      <c r="I153">
        <f>VLOOKUP(D153,WLReference!$A$2:$B$258,2,FALSE)</f>
        <v>60</v>
      </c>
    </row>
    <row r="154" spans="1:9" x14ac:dyDescent="0.25">
      <c r="A154" t="s">
        <v>14</v>
      </c>
      <c r="B154" t="s">
        <v>23</v>
      </c>
      <c r="C154">
        <v>2</v>
      </c>
      <c r="D154">
        <v>2147.3685829999999</v>
      </c>
      <c r="G154">
        <v>51.58</v>
      </c>
      <c r="I154">
        <f>VLOOKUP(D154,WLReference!$A$2:$B$258,2,FALSE)</f>
        <v>58</v>
      </c>
    </row>
    <row r="155" spans="1:9" x14ac:dyDescent="0.25">
      <c r="A155" t="s">
        <v>14</v>
      </c>
      <c r="B155" t="s">
        <v>23</v>
      </c>
      <c r="C155">
        <v>2</v>
      </c>
      <c r="D155">
        <v>1813.3335950000001</v>
      </c>
      <c r="G155">
        <v>51.39</v>
      </c>
      <c r="I155">
        <f>VLOOKUP(D155,WLReference!$A$2:$B$258,2,FALSE)</f>
        <v>121</v>
      </c>
    </row>
    <row r="156" spans="1:9" x14ac:dyDescent="0.25">
      <c r="A156" t="s">
        <v>14</v>
      </c>
      <c r="B156" t="s">
        <v>23</v>
      </c>
      <c r="C156">
        <v>2</v>
      </c>
      <c r="D156">
        <v>1642.9533140000001</v>
      </c>
      <c r="G156">
        <v>51.3</v>
      </c>
      <c r="I156">
        <f>VLOOKUP(D156,WLReference!$A$2:$B$258,2,FALSE)</f>
        <v>163</v>
      </c>
    </row>
    <row r="157" spans="1:9" x14ac:dyDescent="0.25">
      <c r="A157" t="s">
        <v>14</v>
      </c>
      <c r="B157" t="s">
        <v>23</v>
      </c>
      <c r="C157">
        <v>2</v>
      </c>
      <c r="D157">
        <v>1817.822042</v>
      </c>
      <c r="G157">
        <v>50.88</v>
      </c>
      <c r="I157">
        <f>VLOOKUP(D157,WLReference!$A$2:$B$258,2,FALSE)</f>
        <v>120</v>
      </c>
    </row>
    <row r="158" spans="1:9" x14ac:dyDescent="0.25">
      <c r="A158" t="s">
        <v>14</v>
      </c>
      <c r="B158" t="s">
        <v>23</v>
      </c>
      <c r="C158">
        <v>2</v>
      </c>
      <c r="D158">
        <v>1665.306413</v>
      </c>
      <c r="G158">
        <v>50.85</v>
      </c>
      <c r="I158">
        <f>VLOOKUP(D158,WLReference!$A$2:$B$258,2,FALSE)</f>
        <v>157</v>
      </c>
    </row>
    <row r="159" spans="1:9" x14ac:dyDescent="0.25">
      <c r="A159" t="s">
        <v>14</v>
      </c>
      <c r="B159" t="s">
        <v>23</v>
      </c>
      <c r="C159">
        <v>2</v>
      </c>
      <c r="D159">
        <v>1672.8932279999999</v>
      </c>
      <c r="G159">
        <v>49.62</v>
      </c>
      <c r="I159">
        <f>VLOOKUP(D159,WLReference!$A$2:$B$258,2,FALSE)</f>
        <v>155</v>
      </c>
    </row>
    <row r="160" spans="1:9" x14ac:dyDescent="0.25">
      <c r="A160" t="s">
        <v>14</v>
      </c>
      <c r="B160" t="s">
        <v>23</v>
      </c>
      <c r="C160">
        <v>2</v>
      </c>
      <c r="D160">
        <v>2448.0000340000001</v>
      </c>
      <c r="G160">
        <v>49.58</v>
      </c>
      <c r="I160">
        <f>VLOOKUP(D160,WLReference!$A$2:$B$258,2,FALSE)</f>
        <v>16</v>
      </c>
    </row>
    <row r="161" spans="1:9" x14ac:dyDescent="0.25">
      <c r="A161" t="s">
        <v>14</v>
      </c>
      <c r="B161" t="s">
        <v>23</v>
      </c>
      <c r="C161">
        <v>2</v>
      </c>
      <c r="D161">
        <v>1808.8672570000001</v>
      </c>
      <c r="G161">
        <v>48.84</v>
      </c>
      <c r="I161">
        <f>VLOOKUP(D161,WLReference!$A$2:$B$258,2,FALSE)</f>
        <v>122</v>
      </c>
    </row>
    <row r="162" spans="1:9" x14ac:dyDescent="0.25">
      <c r="A162" t="s">
        <v>14</v>
      </c>
      <c r="B162" t="s">
        <v>23</v>
      </c>
      <c r="C162">
        <v>2</v>
      </c>
      <c r="D162">
        <v>2141.1080360000001</v>
      </c>
      <c r="G162">
        <v>48.47</v>
      </c>
      <c r="I162">
        <f>VLOOKUP(D162,WLReference!$A$2:$B$258,2,FALSE)</f>
        <v>59</v>
      </c>
    </row>
  </sheetData>
  <sortState xmlns:xlrd2="http://schemas.microsoft.com/office/spreadsheetml/2017/richdata2" ref="A3:G162">
    <sortCondition descending="1" ref="C1:C162"/>
  </sortState>
  <mergeCells count="1">
    <mergeCell ref="E1:G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1591-7BA0-4018-A143-0D0A35074D92}">
  <dimension ref="A1:G161"/>
  <sheetViews>
    <sheetView zoomScale="91" workbookViewId="0">
      <selection activeCell="B2" sqref="B2"/>
    </sheetView>
  </sheetViews>
  <sheetFormatPr defaultRowHeight="15" x14ac:dyDescent="0.25"/>
  <cols>
    <col min="1" max="2" width="24" customWidth="1"/>
    <col min="3" max="3" width="21.140625" customWidth="1"/>
    <col min="4" max="4" width="20.28515625" customWidth="1"/>
    <col min="6" max="6" width="18.85546875" bestFit="1" customWidth="1"/>
    <col min="7" max="7" width="20.28515625" bestFit="1" customWidth="1"/>
  </cols>
  <sheetData>
    <row r="1" spans="1:7" x14ac:dyDescent="0.25">
      <c r="A1" t="s">
        <v>2</v>
      </c>
      <c r="B1" t="s">
        <v>146</v>
      </c>
      <c r="C1" t="s">
        <v>0</v>
      </c>
      <c r="D1" t="s">
        <v>20</v>
      </c>
    </row>
    <row r="2" spans="1:7" x14ac:dyDescent="0.25">
      <c r="A2" t="s">
        <v>8</v>
      </c>
      <c r="B2" cm="1">
        <f t="array" ref="B2">_xlfn.IFS(ISNUMBER(FIND("R13C",A2)),3,ISNUMBER(FIND("R22C",A2)),2)</f>
        <v>2</v>
      </c>
      <c r="C2">
        <f>VLOOKUP(D2,ColRef!A$1:B$258, 2, FALSE)</f>
        <v>2160.0001579999998</v>
      </c>
      <c r="D2">
        <v>56</v>
      </c>
      <c r="F2" s="10" t="s">
        <v>7</v>
      </c>
      <c r="G2" t="s">
        <v>18</v>
      </c>
    </row>
    <row r="3" spans="1:7" x14ac:dyDescent="0.25">
      <c r="A3" t="s">
        <v>8</v>
      </c>
      <c r="B3" cm="1">
        <f t="array" ref="B3">_xlfn.IFS(ISNUMBER(FIND("R13C",A3)),3,ISNUMBER(FIND("R22C",A3)),2)</f>
        <v>2</v>
      </c>
      <c r="C3">
        <f>VLOOKUP(D3,ColRef!A$1:B$258, 2, FALSE)</f>
        <v>1511.1114219999999</v>
      </c>
      <c r="D3">
        <v>202</v>
      </c>
      <c r="F3" s="11">
        <v>2160.0001579999998</v>
      </c>
      <c r="G3">
        <v>4</v>
      </c>
    </row>
    <row r="4" spans="1:7" x14ac:dyDescent="0.25">
      <c r="A4" t="s">
        <v>8</v>
      </c>
      <c r="B4" cm="1">
        <f t="array" ref="B4">_xlfn.IFS(ISNUMBER(FIND("R13C",A4)),3,ISNUMBER(FIND("R22C",A4)),2)</f>
        <v>2</v>
      </c>
      <c r="C4">
        <f>VLOOKUP(D4,ColRef!A$1:B$258, 2, FALSE)</f>
        <v>2153.665849</v>
      </c>
      <c r="D4">
        <v>57</v>
      </c>
      <c r="F4" s="12">
        <v>56</v>
      </c>
      <c r="G4">
        <v>4</v>
      </c>
    </row>
    <row r="5" spans="1:7" x14ac:dyDescent="0.25">
      <c r="A5" t="s">
        <v>8</v>
      </c>
      <c r="B5" cm="1">
        <f t="array" ref="B5">_xlfn.IFS(ISNUMBER(FIND("R13C",A5)),3,ISNUMBER(FIND("R22C",A5)),2)</f>
        <v>2</v>
      </c>
      <c r="C5">
        <f>VLOOKUP(D5,ColRef!A$1:B$258, 2, FALSE)</f>
        <v>2166.3718370000001</v>
      </c>
      <c r="D5">
        <v>55</v>
      </c>
      <c r="F5" s="11">
        <v>2153.665849</v>
      </c>
      <c r="G5">
        <v>4</v>
      </c>
    </row>
    <row r="6" spans="1:7" x14ac:dyDescent="0.25">
      <c r="A6" t="s">
        <v>8</v>
      </c>
      <c r="B6" cm="1">
        <f t="array" ref="B6">_xlfn.IFS(ISNUMBER(FIND("R13C",A6)),3,ISNUMBER(FIND("R22C",A6)),2)</f>
        <v>2</v>
      </c>
      <c r="C6">
        <f>VLOOKUP(D6,ColRef!A$1:B$258, 2, FALSE)</f>
        <v>2400.0000570000002</v>
      </c>
      <c r="D6">
        <v>22</v>
      </c>
      <c r="F6" s="12">
        <v>57</v>
      </c>
      <c r="G6">
        <v>4</v>
      </c>
    </row>
    <row r="7" spans="1:7" x14ac:dyDescent="0.25">
      <c r="A7" t="s">
        <v>8</v>
      </c>
      <c r="B7" cm="1">
        <f t="array" ref="B7">_xlfn.IFS(ISNUMBER(FIND("R13C",A7)),3,ISNUMBER(FIND("R22C",A7)),2)</f>
        <v>2</v>
      </c>
      <c r="C7">
        <f>VLOOKUP(D7,ColRef!A$1:B$258, 2, FALSE)</f>
        <v>1665.306413</v>
      </c>
      <c r="D7">
        <v>157</v>
      </c>
      <c r="F7" s="11">
        <v>2141.1080360000001</v>
      </c>
      <c r="G7">
        <v>4</v>
      </c>
    </row>
    <row r="8" spans="1:7" x14ac:dyDescent="0.25">
      <c r="A8" t="s">
        <v>8</v>
      </c>
      <c r="B8" cm="1">
        <f t="array" ref="B8">_xlfn.IFS(ISNUMBER(FIND("R13C",A8)),3,ISNUMBER(FIND("R22C",A8)),2)</f>
        <v>2</v>
      </c>
      <c r="C8">
        <f>VLOOKUP(D8,ColRef!A$1:B$258, 2, FALSE)</f>
        <v>2147.3685829999999</v>
      </c>
      <c r="D8">
        <v>58</v>
      </c>
      <c r="F8" s="12">
        <v>59</v>
      </c>
      <c r="G8">
        <v>4</v>
      </c>
    </row>
    <row r="9" spans="1:7" x14ac:dyDescent="0.25">
      <c r="A9" t="s">
        <v>8</v>
      </c>
      <c r="B9" cm="1">
        <f t="array" ref="B9">_xlfn.IFS(ISNUMBER(FIND("R13C",A9)),3,ISNUMBER(FIND("R22C",A9)),2)</f>
        <v>2</v>
      </c>
      <c r="C9">
        <f>VLOOKUP(D9,ColRef!A$1:B$258, 2, FALSE)</f>
        <v>2034.3492309999999</v>
      </c>
      <c r="D9">
        <v>77</v>
      </c>
      <c r="F9" s="11">
        <v>2147.3685829999999</v>
      </c>
      <c r="G9">
        <v>4</v>
      </c>
    </row>
    <row r="10" spans="1:7" x14ac:dyDescent="0.25">
      <c r="A10" t="s">
        <v>8</v>
      </c>
      <c r="B10" cm="1">
        <f t="array" ref="B10">_xlfn.IFS(ISNUMBER(FIND("R13C",A10)),3,ISNUMBER(FIND("R22C",A10)),2)</f>
        <v>2</v>
      </c>
      <c r="C10">
        <f>VLOOKUP(D10,ColRef!A$1:B$258, 2, FALSE)</f>
        <v>2172.7812180000001</v>
      </c>
      <c r="D10">
        <v>54</v>
      </c>
      <c r="F10" s="12">
        <v>58</v>
      </c>
      <c r="G10">
        <v>4</v>
      </c>
    </row>
    <row r="11" spans="1:7" x14ac:dyDescent="0.25">
      <c r="A11" t="s">
        <v>8</v>
      </c>
      <c r="B11" cm="1">
        <f t="array" ref="B11">_xlfn.IFS(ISNUMBER(FIND("R13C",A11)),3,ISNUMBER(FIND("R22C",A11)),2)</f>
        <v>2</v>
      </c>
      <c r="C11">
        <f>VLOOKUP(D11,ColRef!A$1:B$258, 2, FALSE)</f>
        <v>1661.538753</v>
      </c>
      <c r="D11">
        <v>158</v>
      </c>
      <c r="F11" s="11">
        <v>2166.3718370000001</v>
      </c>
      <c r="G11">
        <v>4</v>
      </c>
    </row>
    <row r="12" spans="1:7" x14ac:dyDescent="0.25">
      <c r="A12" t="s">
        <v>8</v>
      </c>
      <c r="B12" cm="1">
        <f t="array" ref="B12">_xlfn.IFS(ISNUMBER(FIND("R13C",A12)),3,ISNUMBER(FIND("R22C",A12)),2)</f>
        <v>2</v>
      </c>
      <c r="C12">
        <f>VLOOKUP(D12,ColRef!A$1:B$258, 2, FALSE)</f>
        <v>2392.1824710000001</v>
      </c>
      <c r="D12">
        <v>23</v>
      </c>
      <c r="F12" s="12">
        <v>55</v>
      </c>
      <c r="G12">
        <v>4</v>
      </c>
    </row>
    <row r="13" spans="1:7" x14ac:dyDescent="0.25">
      <c r="A13" t="s">
        <v>8</v>
      </c>
      <c r="B13" cm="1">
        <f t="array" ref="B13">_xlfn.IFS(ISNUMBER(FIND("R13C",A13)),3,ISNUMBER(FIND("R22C",A13)),2)</f>
        <v>2</v>
      </c>
      <c r="C13">
        <f>VLOOKUP(D13,ColRef!A$1:B$258, 2, FALSE)</f>
        <v>1514.2271149999999</v>
      </c>
      <c r="D13">
        <v>201</v>
      </c>
      <c r="F13" s="11">
        <v>2134.8838879999998</v>
      </c>
      <c r="G13">
        <v>3</v>
      </c>
    </row>
    <row r="14" spans="1:7" x14ac:dyDescent="0.25">
      <c r="A14" t="s">
        <v>8</v>
      </c>
      <c r="B14" cm="1">
        <f t="array" ref="B14">_xlfn.IFS(ISNUMBER(FIND("R13C",A14)),3,ISNUMBER(FIND("R22C",A14)),2)</f>
        <v>2</v>
      </c>
      <c r="C14">
        <f>VLOOKUP(D14,ColRef!A$1:B$258, 2, FALSE)</f>
        <v>2028.729484</v>
      </c>
      <c r="D14">
        <v>78</v>
      </c>
      <c r="F14" s="12">
        <v>60</v>
      </c>
      <c r="G14">
        <v>3</v>
      </c>
    </row>
    <row r="15" spans="1:7" x14ac:dyDescent="0.25">
      <c r="A15" t="s">
        <v>8</v>
      </c>
      <c r="B15" cm="1">
        <f t="array" ref="B15">_xlfn.IFS(ISNUMBER(FIND("R13C",A15)),3,ISNUMBER(FIND("R22C",A15)),2)</f>
        <v>2</v>
      </c>
      <c r="C15">
        <f>VLOOKUP(D15,ColRef!A$1:B$258, 2, FALSE)</f>
        <v>2324.0507240000002</v>
      </c>
      <c r="D15">
        <v>32</v>
      </c>
      <c r="F15" s="11">
        <v>2369.03233</v>
      </c>
      <c r="G15">
        <v>3</v>
      </c>
    </row>
    <row r="16" spans="1:7" x14ac:dyDescent="0.25">
      <c r="A16" t="s">
        <v>8</v>
      </c>
      <c r="B16" cm="1">
        <f t="array" ref="B16">_xlfn.IFS(ISNUMBER(FIND("R13C",A16)),3,ISNUMBER(FIND("R22C",A16)),2)</f>
        <v>2</v>
      </c>
      <c r="C16">
        <f>VLOOKUP(D16,ColRef!A$1:B$258, 2, FALSE)</f>
        <v>2141.1080360000001</v>
      </c>
      <c r="D16">
        <v>59</v>
      </c>
      <c r="F16" s="12">
        <v>26</v>
      </c>
      <c r="G16">
        <v>3</v>
      </c>
    </row>
    <row r="17" spans="1:7" x14ac:dyDescent="0.25">
      <c r="A17" t="s">
        <v>8</v>
      </c>
      <c r="B17" cm="1">
        <f t="array" ref="B17">_xlfn.IFS(ISNUMBER(FIND("R13C",A17)),3,ISNUMBER(FIND("R22C",A17)),2)</f>
        <v>2</v>
      </c>
      <c r="C17">
        <f>VLOOKUP(D17,ColRef!A$1:B$258, 2, FALSE)</f>
        <v>2407.8689060000002</v>
      </c>
      <c r="D17">
        <v>21</v>
      </c>
      <c r="F17" s="11">
        <v>2128.6958209999998</v>
      </c>
      <c r="G17">
        <v>3</v>
      </c>
    </row>
    <row r="18" spans="1:7" x14ac:dyDescent="0.25">
      <c r="A18" t="s">
        <v>8</v>
      </c>
      <c r="B18" cm="1">
        <f t="array" ref="B18">_xlfn.IFS(ISNUMBER(FIND("R13C",A18)),3,ISNUMBER(FIND("R22C",A18)),2)</f>
        <v>2</v>
      </c>
      <c r="C18">
        <f>VLOOKUP(D18,ColRef!A$1:B$258, 2, FALSE)</f>
        <v>1990.244117</v>
      </c>
      <c r="D18">
        <v>85</v>
      </c>
      <c r="F18" s="12">
        <v>61</v>
      </c>
      <c r="G18">
        <v>3</v>
      </c>
    </row>
    <row r="19" spans="1:7" x14ac:dyDescent="0.25">
      <c r="A19" t="s">
        <v>8</v>
      </c>
      <c r="B19" cm="1">
        <f t="array" ref="B19">_xlfn.IFS(ISNUMBER(FIND("R13C",A19)),3,ISNUMBER(FIND("R22C",A19)),2)</f>
        <v>2</v>
      </c>
      <c r="C19">
        <f>VLOOKUP(D19,ColRef!A$1:B$258, 2, FALSE)</f>
        <v>1471.743802</v>
      </c>
      <c r="D19">
        <v>215</v>
      </c>
      <c r="F19" s="11">
        <v>2028.729484</v>
      </c>
      <c r="G19">
        <v>3</v>
      </c>
    </row>
    <row r="20" spans="1:7" x14ac:dyDescent="0.25">
      <c r="A20" t="s">
        <v>10</v>
      </c>
      <c r="B20" cm="1">
        <f t="array" ref="B20">_xlfn.IFS(ISNUMBER(FIND("R13C",A20)),3,ISNUMBER(FIND("R22C",A20)),2)</f>
        <v>2</v>
      </c>
      <c r="C20">
        <f>VLOOKUP(D20,ColRef!A$1:B$258, 2, FALSE)</f>
        <v>2134.8838879999998</v>
      </c>
      <c r="D20">
        <v>60</v>
      </c>
      <c r="F20" s="12">
        <v>78</v>
      </c>
      <c r="G20">
        <v>3</v>
      </c>
    </row>
    <row r="21" spans="1:7" x14ac:dyDescent="0.25">
      <c r="A21" t="s">
        <v>10</v>
      </c>
      <c r="B21" cm="1">
        <f t="array" ref="B21">_xlfn.IFS(ISNUMBER(FIND("R13C",A21)),3,ISNUMBER(FIND("R22C",A21)),2)</f>
        <v>2</v>
      </c>
      <c r="C21">
        <f>VLOOKUP(D21,ColRef!A$1:B$258, 2, FALSE)</f>
        <v>2153.665849</v>
      </c>
      <c r="D21">
        <v>57</v>
      </c>
      <c r="F21" s="11">
        <v>2122.5435240000002</v>
      </c>
      <c r="G21">
        <v>3</v>
      </c>
    </row>
    <row r="22" spans="1:7" x14ac:dyDescent="0.25">
      <c r="A22" t="s">
        <v>10</v>
      </c>
      <c r="B22" cm="1">
        <f t="array" ref="B22">_xlfn.IFS(ISNUMBER(FIND("R13C",A22)),3,ISNUMBER(FIND("R22C",A22)),2)</f>
        <v>2</v>
      </c>
      <c r="C22">
        <f>VLOOKUP(D22,ColRef!A$1:B$258, 2, FALSE)</f>
        <v>2128.6958209999998</v>
      </c>
      <c r="D22">
        <v>61</v>
      </c>
      <c r="F22" s="12">
        <v>62</v>
      </c>
      <c r="G22">
        <v>3</v>
      </c>
    </row>
    <row r="23" spans="1:7" x14ac:dyDescent="0.25">
      <c r="A23" t="s">
        <v>10</v>
      </c>
      <c r="B23" cm="1">
        <f t="array" ref="B23">_xlfn.IFS(ISNUMBER(FIND("R13C",A23)),3,ISNUMBER(FIND("R22C",A23)),2)</f>
        <v>2</v>
      </c>
      <c r="C23">
        <f>VLOOKUP(D23,ColRef!A$1:B$258, 2, FALSE)</f>
        <v>2141.1080360000001</v>
      </c>
      <c r="D23">
        <v>59</v>
      </c>
      <c r="F23" s="11">
        <v>2361.4148660000001</v>
      </c>
      <c r="G23">
        <v>3</v>
      </c>
    </row>
    <row r="24" spans="1:7" x14ac:dyDescent="0.25">
      <c r="A24" t="s">
        <v>10</v>
      </c>
      <c r="B24" cm="1">
        <f t="array" ref="B24">_xlfn.IFS(ISNUMBER(FIND("R13C",A24)),3,ISNUMBER(FIND("R22C",A24)),2)</f>
        <v>2</v>
      </c>
      <c r="C24">
        <f>VLOOKUP(D24,ColRef!A$1:B$258, 2, FALSE)</f>
        <v>2160.0001579999998</v>
      </c>
      <c r="D24">
        <v>56</v>
      </c>
      <c r="F24" s="12">
        <v>27</v>
      </c>
      <c r="G24">
        <v>3</v>
      </c>
    </row>
    <row r="25" spans="1:7" x14ac:dyDescent="0.25">
      <c r="A25" t="s">
        <v>10</v>
      </c>
      <c r="B25" cm="1">
        <f t="array" ref="B25">_xlfn.IFS(ISNUMBER(FIND("R13C",A25)),3,ISNUMBER(FIND("R22C",A25)),2)</f>
        <v>2</v>
      </c>
      <c r="C25">
        <f>VLOOKUP(D25,ColRef!A$1:B$258, 2, FALSE)</f>
        <v>2147.3685829999999</v>
      </c>
      <c r="D25">
        <v>58</v>
      </c>
      <c r="F25" s="11">
        <v>2353.8462319999999</v>
      </c>
      <c r="G25">
        <v>3</v>
      </c>
    </row>
    <row r="26" spans="1:7" x14ac:dyDescent="0.25">
      <c r="A26" t="s">
        <v>10</v>
      </c>
      <c r="B26" cm="1">
        <f t="array" ref="B26">_xlfn.IFS(ISNUMBER(FIND("R13C",A26)),3,ISNUMBER(FIND("R22C",A26)),2)</f>
        <v>2</v>
      </c>
      <c r="C26">
        <f>VLOOKUP(D26,ColRef!A$1:B$258, 2, FALSE)</f>
        <v>2122.5435240000002</v>
      </c>
      <c r="D26">
        <v>62</v>
      </c>
      <c r="F26" s="12">
        <v>28</v>
      </c>
      <c r="G26">
        <v>3</v>
      </c>
    </row>
    <row r="27" spans="1:7" x14ac:dyDescent="0.25">
      <c r="A27" t="s">
        <v>10</v>
      </c>
      <c r="B27" cm="1">
        <f t="array" ref="B27">_xlfn.IFS(ISNUMBER(FIND("R13C",A27)),3,ISNUMBER(FIND("R22C",A27)),2)</f>
        <v>2</v>
      </c>
      <c r="C27">
        <f>VLOOKUP(D27,ColRef!A$1:B$258, 2, FALSE)</f>
        <v>2166.3718370000001</v>
      </c>
      <c r="D27">
        <v>55</v>
      </c>
      <c r="F27" s="11">
        <v>2400.0000570000002</v>
      </c>
      <c r="G27">
        <v>3</v>
      </c>
    </row>
    <row r="28" spans="1:7" x14ac:dyDescent="0.25">
      <c r="A28" t="s">
        <v>10</v>
      </c>
      <c r="B28" cm="1">
        <f t="array" ref="B28">_xlfn.IFS(ISNUMBER(FIND("R13C",A28)),3,ISNUMBER(FIND("R22C",A28)),2)</f>
        <v>2</v>
      </c>
      <c r="C28">
        <f>VLOOKUP(D28,ColRef!A$1:B$258, 2, FALSE)</f>
        <v>2407.8689060000002</v>
      </c>
      <c r="D28">
        <v>21</v>
      </c>
      <c r="F28" s="12">
        <v>22</v>
      </c>
      <c r="G28">
        <v>3</v>
      </c>
    </row>
    <row r="29" spans="1:7" x14ac:dyDescent="0.25">
      <c r="A29" t="s">
        <v>10</v>
      </c>
      <c r="B29" cm="1">
        <f t="array" ref="B29">_xlfn.IFS(ISNUMBER(FIND("R13C",A29)),3,ISNUMBER(FIND("R22C",A29)),2)</f>
        <v>2</v>
      </c>
      <c r="C29">
        <f>VLOOKUP(D29,ColRef!A$1:B$258, 2, FALSE)</f>
        <v>2116.4266859999998</v>
      </c>
      <c r="D29">
        <v>63</v>
      </c>
      <c r="F29" s="11">
        <v>2376.6990970000002</v>
      </c>
      <c r="G29">
        <v>2</v>
      </c>
    </row>
    <row r="30" spans="1:7" x14ac:dyDescent="0.25">
      <c r="A30" t="s">
        <v>10</v>
      </c>
      <c r="B30" cm="1">
        <f t="array" ref="B30">_xlfn.IFS(ISNUMBER(FIND("R13C",A30)),3,ISNUMBER(FIND("R22C",A30)),2)</f>
        <v>2</v>
      </c>
      <c r="C30">
        <f>VLOOKUP(D30,ColRef!A$1:B$258, 2, FALSE)</f>
        <v>2415.7895229999999</v>
      </c>
      <c r="D30">
        <v>20</v>
      </c>
      <c r="F30" s="12">
        <v>25</v>
      </c>
      <c r="G30">
        <v>2</v>
      </c>
    </row>
    <row r="31" spans="1:7" x14ac:dyDescent="0.25">
      <c r="A31" t="s">
        <v>10</v>
      </c>
      <c r="B31" cm="1">
        <f t="array" ref="B31">_xlfn.IFS(ISNUMBER(FIND("R13C",A31)),3,ISNUMBER(FIND("R22C",A31)),2)</f>
        <v>2</v>
      </c>
      <c r="C31">
        <f>VLOOKUP(D31,ColRef!A$1:B$258, 2, FALSE)</f>
        <v>2400.0000570000002</v>
      </c>
      <c r="D31">
        <v>22</v>
      </c>
      <c r="F31" s="11">
        <v>1672.8932279999999</v>
      </c>
      <c r="G31">
        <v>2</v>
      </c>
    </row>
    <row r="32" spans="1:7" x14ac:dyDescent="0.25">
      <c r="A32" t="s">
        <v>10</v>
      </c>
      <c r="B32" cm="1">
        <f t="array" ref="B32">_xlfn.IFS(ISNUMBER(FIND("R13C",A32)),3,ISNUMBER(FIND("R22C",A32)),2)</f>
        <v>2</v>
      </c>
      <c r="C32">
        <f>VLOOKUP(D32,ColRef!A$1:B$258, 2, FALSE)</f>
        <v>1420.5032200000001</v>
      </c>
      <c r="D32">
        <v>233</v>
      </c>
      <c r="F32" s="12">
        <v>155</v>
      </c>
      <c r="G32">
        <v>2</v>
      </c>
    </row>
    <row r="33" spans="1:7" x14ac:dyDescent="0.25">
      <c r="A33" t="s">
        <v>10</v>
      </c>
      <c r="B33" cm="1">
        <f t="array" ref="B33">_xlfn.IFS(ISNUMBER(FIND("R13C",A33)),3,ISNUMBER(FIND("R22C",A33)),2)</f>
        <v>2</v>
      </c>
      <c r="C33">
        <f>VLOOKUP(D33,ColRef!A$1:B$258, 2, FALSE)</f>
        <v>2205.405546</v>
      </c>
      <c r="D33">
        <v>49</v>
      </c>
      <c r="F33" s="11">
        <v>2034.3492309999999</v>
      </c>
      <c r="G33">
        <v>2</v>
      </c>
    </row>
    <row r="34" spans="1:7" x14ac:dyDescent="0.25">
      <c r="A34" t="s">
        <v>10</v>
      </c>
      <c r="B34" cm="1">
        <f t="array" ref="B34">_xlfn.IFS(ISNUMBER(FIND("R13C",A34)),3,ISNUMBER(FIND("R22C",A34)),2)</f>
        <v>2</v>
      </c>
      <c r="C34">
        <f>VLOOKUP(D34,ColRef!A$1:B$258, 2, FALSE)</f>
        <v>2028.729484</v>
      </c>
      <c r="D34">
        <v>78</v>
      </c>
      <c r="F34" s="12">
        <v>77</v>
      </c>
      <c r="G34">
        <v>2</v>
      </c>
    </row>
    <row r="35" spans="1:7" x14ac:dyDescent="0.25">
      <c r="A35" t="s">
        <v>10</v>
      </c>
      <c r="B35" cm="1">
        <f t="array" ref="B35">_xlfn.IFS(ISNUMBER(FIND("R13C",A35)),3,ISNUMBER(FIND("R22C",A35)),2)</f>
        <v>2</v>
      </c>
      <c r="C35">
        <f>VLOOKUP(D35,ColRef!A$1:B$258, 2, FALSE)</f>
        <v>1462.948523</v>
      </c>
      <c r="D35">
        <v>218</v>
      </c>
      <c r="F35" s="11">
        <v>1665.306413</v>
      </c>
      <c r="G35">
        <v>2</v>
      </c>
    </row>
    <row r="36" spans="1:7" x14ac:dyDescent="0.25">
      <c r="A36" t="s">
        <v>10</v>
      </c>
      <c r="B36" cm="1">
        <f t="array" ref="B36">_xlfn.IFS(ISNUMBER(FIND("R13C",A36)),3,ISNUMBER(FIND("R22C",A36)),2)</f>
        <v>2</v>
      </c>
      <c r="C36">
        <f>VLOOKUP(D36,ColRef!A$1:B$258, 2, FALSE)</f>
        <v>1719.906604</v>
      </c>
      <c r="D36">
        <v>143</v>
      </c>
      <c r="F36" s="12">
        <v>157</v>
      </c>
      <c r="G36">
        <v>2</v>
      </c>
    </row>
    <row r="37" spans="1:7" x14ac:dyDescent="0.25">
      <c r="A37" t="s">
        <v>12</v>
      </c>
      <c r="B37" cm="1">
        <f t="array" ref="B37">_xlfn.IFS(ISNUMBER(FIND("R13C",A37)),3,ISNUMBER(FIND("R22C",A37)),2)</f>
        <v>2</v>
      </c>
      <c r="C37">
        <f>VLOOKUP(D37,ColRef!A$1:B$258, 2, FALSE)</f>
        <v>2353.8462319999999</v>
      </c>
      <c r="D37">
        <v>28</v>
      </c>
      <c r="F37" s="11">
        <v>1669.091199</v>
      </c>
      <c r="G37">
        <v>2</v>
      </c>
    </row>
    <row r="38" spans="1:7" x14ac:dyDescent="0.25">
      <c r="A38" t="s">
        <v>12</v>
      </c>
      <c r="B38" cm="1">
        <f t="array" ref="B38">_xlfn.IFS(ISNUMBER(FIND("R13C",A38)),3,ISNUMBER(FIND("R22C",A38)),2)</f>
        <v>2</v>
      </c>
      <c r="C38">
        <f>VLOOKUP(D38,ColRef!A$1:B$258, 2, FALSE)</f>
        <v>2361.4148660000001</v>
      </c>
      <c r="D38">
        <v>27</v>
      </c>
      <c r="F38" s="12">
        <v>156</v>
      </c>
      <c r="G38">
        <v>2</v>
      </c>
    </row>
    <row r="39" spans="1:7" x14ac:dyDescent="0.25">
      <c r="A39" t="s">
        <v>12</v>
      </c>
      <c r="B39" cm="1">
        <f t="array" ref="B39">_xlfn.IFS(ISNUMBER(FIND("R13C",A39)),3,ISNUMBER(FIND("R22C",A39)),2)</f>
        <v>2</v>
      </c>
      <c r="C39">
        <f>VLOOKUP(D39,ColRef!A$1:B$258, 2, FALSE)</f>
        <v>1696.074188</v>
      </c>
      <c r="D39">
        <v>149</v>
      </c>
      <c r="F39" s="11">
        <v>2172.7812180000001</v>
      </c>
      <c r="G39">
        <v>2</v>
      </c>
    </row>
    <row r="40" spans="1:7" x14ac:dyDescent="0.25">
      <c r="A40" t="s">
        <v>12</v>
      </c>
      <c r="B40" cm="1">
        <f t="array" ref="B40">_xlfn.IFS(ISNUMBER(FIND("R13C",A40)),3,ISNUMBER(FIND("R22C",A40)),2)</f>
        <v>2</v>
      </c>
      <c r="C40">
        <f>VLOOKUP(D40,ColRef!A$1:B$258, 2, FALSE)</f>
        <v>2001.09013</v>
      </c>
      <c r="D40">
        <v>83</v>
      </c>
      <c r="F40" s="12">
        <v>54</v>
      </c>
      <c r="G40">
        <v>2</v>
      </c>
    </row>
    <row r="41" spans="1:7" x14ac:dyDescent="0.25">
      <c r="A41" t="s">
        <v>12</v>
      </c>
      <c r="B41" cm="1">
        <f t="array" ref="B41">_xlfn.IFS(ISNUMBER(FIND("R13C",A41)),3,ISNUMBER(FIND("R22C",A41)),2)</f>
        <v>2</v>
      </c>
      <c r="C41">
        <f>VLOOKUP(D41,ColRef!A$1:B$258, 2, FALSE)</f>
        <v>1692.1661839999999</v>
      </c>
      <c r="D41">
        <v>150</v>
      </c>
      <c r="F41" s="11">
        <v>2116.4266859999998</v>
      </c>
      <c r="G41">
        <v>2</v>
      </c>
    </row>
    <row r="42" spans="1:7" x14ac:dyDescent="0.25">
      <c r="A42" t="s">
        <v>12</v>
      </c>
      <c r="B42" cm="1">
        <f t="array" ref="B42">_xlfn.IFS(ISNUMBER(FIND("R13C",A42)),3,ISNUMBER(FIND("R22C",A42)),2)</f>
        <v>2</v>
      </c>
      <c r="C42">
        <f>VLOOKUP(D42,ColRef!A$1:B$258, 2, FALSE)</f>
        <v>2369.03233</v>
      </c>
      <c r="D42">
        <v>26</v>
      </c>
      <c r="F42" s="12">
        <v>63</v>
      </c>
      <c r="G42">
        <v>2</v>
      </c>
    </row>
    <row r="43" spans="1:7" x14ac:dyDescent="0.25">
      <c r="A43" t="s">
        <v>12</v>
      </c>
      <c r="B43" cm="1">
        <f t="array" ref="B43">_xlfn.IFS(ISNUMBER(FIND("R13C",A43)),3,ISNUMBER(FIND("R22C",A43)),2)</f>
        <v>2</v>
      </c>
      <c r="C43">
        <f>VLOOKUP(D43,ColRef!A$1:B$258, 2, FALSE)</f>
        <v>1468.800315</v>
      </c>
      <c r="D43">
        <v>216</v>
      </c>
      <c r="F43" s="11">
        <v>2407.8689060000002</v>
      </c>
      <c r="G43">
        <v>2</v>
      </c>
    </row>
    <row r="44" spans="1:7" x14ac:dyDescent="0.25">
      <c r="A44" t="s">
        <v>12</v>
      </c>
      <c r="B44" cm="1">
        <f t="array" ref="B44">_xlfn.IFS(ISNUMBER(FIND("R13C",A44)),3,ISNUMBER(FIND("R22C",A44)),2)</f>
        <v>2</v>
      </c>
      <c r="C44">
        <f>VLOOKUP(D44,ColRef!A$1:B$258, 2, FALSE)</f>
        <v>2346.3259600000001</v>
      </c>
      <c r="D44">
        <v>29</v>
      </c>
      <c r="F44" s="12">
        <v>21</v>
      </c>
      <c r="G44">
        <v>2</v>
      </c>
    </row>
    <row r="45" spans="1:7" x14ac:dyDescent="0.25">
      <c r="A45" t="s">
        <v>14</v>
      </c>
      <c r="B45" cm="1">
        <f t="array" ref="B45">_xlfn.IFS(ISNUMBER(FIND("R13C",A45)),3,ISNUMBER(FIND("R22C",A45)),2)</f>
        <v>2</v>
      </c>
      <c r="C45">
        <f>VLOOKUP(D45,ColRef!A$1:B$258, 2, FALSE)</f>
        <v>2172.7812180000001</v>
      </c>
      <c r="D45">
        <v>54</v>
      </c>
      <c r="F45" s="11">
        <v>2392.1824710000001</v>
      </c>
      <c r="G45">
        <v>2</v>
      </c>
    </row>
    <row r="46" spans="1:7" x14ac:dyDescent="0.25">
      <c r="A46" t="s">
        <v>3</v>
      </c>
      <c r="B46" cm="1">
        <f t="array" ref="B46">_xlfn.IFS(ISNUMBER(FIND("R13C",A46)),3,ISNUMBER(FIND("R22C",A46)),2)</f>
        <v>3</v>
      </c>
      <c r="C46">
        <f>VLOOKUP(D46,ColRef!A$1:B$258, 2, FALSE)</f>
        <v>2353.8462319999999</v>
      </c>
      <c r="D46">
        <v>28</v>
      </c>
      <c r="F46" s="12">
        <v>23</v>
      </c>
      <c r="G46">
        <v>2</v>
      </c>
    </row>
    <row r="47" spans="1:7" x14ac:dyDescent="0.25">
      <c r="A47" t="s">
        <v>3</v>
      </c>
      <c r="B47" cm="1">
        <f t="array" ref="B47">_xlfn.IFS(ISNUMBER(FIND("R13C",A47)),3,ISNUMBER(FIND("R22C",A47)),2)</f>
        <v>3</v>
      </c>
      <c r="C47">
        <f>VLOOKUP(D47,ColRef!A$1:B$258, 2, FALSE)</f>
        <v>1676.7126169999999</v>
      </c>
      <c r="D47">
        <v>154</v>
      </c>
      <c r="F47" s="11">
        <v>1661.538753</v>
      </c>
      <c r="G47">
        <v>2</v>
      </c>
    </row>
    <row r="48" spans="1:7" x14ac:dyDescent="0.25">
      <c r="A48" t="s">
        <v>3</v>
      </c>
      <c r="B48" cm="1">
        <f t="array" ref="B48">_xlfn.IFS(ISNUMBER(FIND("R13C",A48)),3,ISNUMBER(FIND("R22C",A48)),2)</f>
        <v>3</v>
      </c>
      <c r="C48">
        <f>VLOOKUP(D48,ColRef!A$1:B$258, 2, FALSE)</f>
        <v>1672.8932279999999</v>
      </c>
      <c r="D48">
        <v>155</v>
      </c>
      <c r="F48" s="12">
        <v>158</v>
      </c>
      <c r="G48">
        <v>2</v>
      </c>
    </row>
    <row r="49" spans="1:7" x14ac:dyDescent="0.25">
      <c r="A49" t="s">
        <v>3</v>
      </c>
      <c r="B49" cm="1">
        <f t="array" ref="B49">_xlfn.IFS(ISNUMBER(FIND("R13C",A49)),3,ISNUMBER(FIND("R22C",A49)),2)</f>
        <v>3</v>
      </c>
      <c r="C49">
        <f>VLOOKUP(D49,ColRef!A$1:B$258, 2, FALSE)</f>
        <v>1669.091199</v>
      </c>
      <c r="D49">
        <v>156</v>
      </c>
      <c r="F49" s="11">
        <v>2045.6826490000001</v>
      </c>
      <c r="G49">
        <v>2</v>
      </c>
    </row>
    <row r="50" spans="1:7" x14ac:dyDescent="0.25">
      <c r="A50" t="s">
        <v>3</v>
      </c>
      <c r="B50" cm="1">
        <f t="array" ref="B50">_xlfn.IFS(ISNUMBER(FIND("R13C",A50)),3,ISNUMBER(FIND("R22C",A50)),2)</f>
        <v>3</v>
      </c>
      <c r="C50">
        <f>VLOOKUP(D50,ColRef!A$1:B$258, 2, FALSE)</f>
        <v>1526.819436</v>
      </c>
      <c r="D50">
        <v>197</v>
      </c>
      <c r="F50" s="12">
        <v>75</v>
      </c>
      <c r="G50">
        <v>2</v>
      </c>
    </row>
    <row r="51" spans="1:7" x14ac:dyDescent="0.25">
      <c r="A51" t="s">
        <v>3</v>
      </c>
      <c r="B51" cm="1">
        <f t="array" ref="B51">_xlfn.IFS(ISNUMBER(FIND("R13C",A51)),3,ISNUMBER(FIND("R22C",A51)),2)</f>
        <v>3</v>
      </c>
      <c r="C51">
        <f>VLOOKUP(D51,ColRef!A$1:B$258, 2, FALSE)</f>
        <v>1549.3673960000001</v>
      </c>
      <c r="D51">
        <v>190</v>
      </c>
      <c r="F51" s="11">
        <v>1963.6365860000001</v>
      </c>
      <c r="G51">
        <v>1</v>
      </c>
    </row>
    <row r="52" spans="1:7" x14ac:dyDescent="0.25">
      <c r="A52" t="s">
        <v>9</v>
      </c>
      <c r="B52" cm="1">
        <f t="array" ref="B52">_xlfn.IFS(ISNUMBER(FIND("R13C",A52)),3,ISNUMBER(FIND("R22C",A52)),2)</f>
        <v>3</v>
      </c>
      <c r="C52">
        <f>VLOOKUP(D52,ColRef!A$1:B$258, 2, FALSE)</f>
        <v>2134.8838879999998</v>
      </c>
      <c r="D52">
        <v>60</v>
      </c>
      <c r="F52" s="12">
        <v>90</v>
      </c>
      <c r="G52">
        <v>1</v>
      </c>
    </row>
    <row r="53" spans="1:7" x14ac:dyDescent="0.25">
      <c r="A53" t="s">
        <v>9</v>
      </c>
      <c r="B53" cm="1">
        <f t="array" ref="B53">_xlfn.IFS(ISNUMBER(FIND("R13C",A53)),3,ISNUMBER(FIND("R22C",A53)),2)</f>
        <v>3</v>
      </c>
      <c r="C53">
        <f>VLOOKUP(D53,ColRef!A$1:B$258, 2, FALSE)</f>
        <v>2128.6958209999998</v>
      </c>
      <c r="D53">
        <v>61</v>
      </c>
      <c r="F53" s="11">
        <v>1984.8650809999999</v>
      </c>
      <c r="G53">
        <v>1</v>
      </c>
    </row>
    <row r="54" spans="1:7" x14ac:dyDescent="0.25">
      <c r="A54" t="s">
        <v>9</v>
      </c>
      <c r="B54" cm="1">
        <f t="array" ref="B54">_xlfn.IFS(ISNUMBER(FIND("R13C",A54)),3,ISNUMBER(FIND("R22C",A54)),2)</f>
        <v>3</v>
      </c>
      <c r="C54">
        <f>VLOOKUP(D54,ColRef!A$1:B$258, 2, FALSE)</f>
        <v>2141.1080360000001</v>
      </c>
      <c r="D54">
        <v>59</v>
      </c>
      <c r="F54" s="12">
        <v>86</v>
      </c>
      <c r="G54">
        <v>1</v>
      </c>
    </row>
    <row r="55" spans="1:7" x14ac:dyDescent="0.25">
      <c r="A55" t="s">
        <v>9</v>
      </c>
      <c r="B55" cm="1">
        <f t="array" ref="B55">_xlfn.IFS(ISNUMBER(FIND("R13C",A55)),3,ISNUMBER(FIND("R22C",A55)),2)</f>
        <v>3</v>
      </c>
      <c r="C55">
        <f>VLOOKUP(D55,ColRef!A$1:B$258, 2, FALSE)</f>
        <v>2384.415649</v>
      </c>
      <c r="D55">
        <v>24</v>
      </c>
      <c r="F55" s="11">
        <v>1873.4696349999999</v>
      </c>
      <c r="G55">
        <v>1</v>
      </c>
    </row>
    <row r="56" spans="1:7" x14ac:dyDescent="0.25">
      <c r="A56" t="s">
        <v>9</v>
      </c>
      <c r="B56" cm="1">
        <f t="array" ref="B56">_xlfn.IFS(ISNUMBER(FIND("R13C",A56)),3,ISNUMBER(FIND("R22C",A56)),2)</f>
        <v>3</v>
      </c>
      <c r="C56">
        <f>VLOOKUP(D56,ColRef!A$1:B$258, 2, FALSE)</f>
        <v>2122.5435240000002</v>
      </c>
      <c r="D56">
        <v>62</v>
      </c>
      <c r="F56" s="12">
        <v>108</v>
      </c>
      <c r="G56">
        <v>1</v>
      </c>
    </row>
    <row r="57" spans="1:7" x14ac:dyDescent="0.25">
      <c r="A57" t="s">
        <v>9</v>
      </c>
      <c r="B57" cm="1">
        <f t="array" ref="B57">_xlfn.IFS(ISNUMBER(FIND("R13C",A57)),3,ISNUMBER(FIND("R22C",A57)),2)</f>
        <v>3</v>
      </c>
      <c r="C57">
        <f>VLOOKUP(D57,ColRef!A$1:B$258, 2, FALSE)</f>
        <v>2392.1824710000001</v>
      </c>
      <c r="D57">
        <v>23</v>
      </c>
      <c r="F57" s="11">
        <v>1549.3673960000001</v>
      </c>
      <c r="G57">
        <v>1</v>
      </c>
    </row>
    <row r="58" spans="1:7" x14ac:dyDescent="0.25">
      <c r="A58" t="s">
        <v>9</v>
      </c>
      <c r="B58" cm="1">
        <f t="array" ref="B58">_xlfn.IFS(ISNUMBER(FIND("R13C",A58)),3,ISNUMBER(FIND("R22C",A58)),2)</f>
        <v>3</v>
      </c>
      <c r="C58">
        <f>VLOOKUP(D58,ColRef!A$1:B$258, 2, FALSE)</f>
        <v>2153.665849</v>
      </c>
      <c r="D58">
        <v>57</v>
      </c>
      <c r="F58" s="12">
        <v>190</v>
      </c>
      <c r="G58">
        <v>1</v>
      </c>
    </row>
    <row r="59" spans="1:7" x14ac:dyDescent="0.25">
      <c r="A59" t="s">
        <v>9</v>
      </c>
      <c r="B59" cm="1">
        <f t="array" ref="B59">_xlfn.IFS(ISNUMBER(FIND("R13C",A59)),3,ISNUMBER(FIND("R22C",A59)),2)</f>
        <v>3</v>
      </c>
      <c r="C59">
        <f>VLOOKUP(D59,ColRef!A$1:B$258, 2, FALSE)</f>
        <v>2147.3685829999999</v>
      </c>
      <c r="D59">
        <v>58</v>
      </c>
      <c r="F59" s="11">
        <v>1468.800315</v>
      </c>
      <c r="G59">
        <v>1</v>
      </c>
    </row>
    <row r="60" spans="1:7" x14ac:dyDescent="0.25">
      <c r="A60" t="s">
        <v>9</v>
      </c>
      <c r="B60" cm="1">
        <f t="array" ref="B60">_xlfn.IFS(ISNUMBER(FIND("R13C",A60)),3,ISNUMBER(FIND("R22C",A60)),2)</f>
        <v>3</v>
      </c>
      <c r="C60">
        <f>VLOOKUP(D60,ColRef!A$1:B$258, 2, FALSE)</f>
        <v>2376.6990970000002</v>
      </c>
      <c r="D60">
        <v>25</v>
      </c>
      <c r="F60" s="12">
        <v>216</v>
      </c>
      <c r="G60">
        <v>1</v>
      </c>
    </row>
    <row r="61" spans="1:7" x14ac:dyDescent="0.25">
      <c r="A61" t="s">
        <v>9</v>
      </c>
      <c r="B61" cm="1">
        <f t="array" ref="B61">_xlfn.IFS(ISNUMBER(FIND("R13C",A61)),3,ISNUMBER(FIND("R22C",A61)),2)</f>
        <v>3</v>
      </c>
      <c r="C61">
        <f>VLOOKUP(D61,ColRef!A$1:B$258, 2, FALSE)</f>
        <v>2034.3492309999999</v>
      </c>
      <c r="D61">
        <v>77</v>
      </c>
      <c r="F61" s="11">
        <v>1514.2271149999999</v>
      </c>
      <c r="G61">
        <v>1</v>
      </c>
    </row>
    <row r="62" spans="1:7" x14ac:dyDescent="0.25">
      <c r="A62" t="s">
        <v>9</v>
      </c>
      <c r="B62" cm="1">
        <f t="array" ref="B62">_xlfn.IFS(ISNUMBER(FIND("R13C",A62)),3,ISNUMBER(FIND("R22C",A62)),2)</f>
        <v>3</v>
      </c>
      <c r="C62">
        <f>VLOOKUP(D62,ColRef!A$1:B$258, 2, FALSE)</f>
        <v>2160.0001579999998</v>
      </c>
      <c r="D62">
        <v>56</v>
      </c>
      <c r="F62" s="12">
        <v>201</v>
      </c>
      <c r="G62">
        <v>1</v>
      </c>
    </row>
    <row r="63" spans="1:7" x14ac:dyDescent="0.25">
      <c r="A63" t="s">
        <v>9</v>
      </c>
      <c r="B63" cm="1">
        <f t="array" ref="B63">_xlfn.IFS(ISNUMBER(FIND("R13C",A63)),3,ISNUMBER(FIND("R22C",A63)),2)</f>
        <v>3</v>
      </c>
      <c r="C63">
        <f>VLOOKUP(D63,ColRef!A$1:B$258, 2, FALSE)</f>
        <v>2369.03233</v>
      </c>
      <c r="D63">
        <v>26</v>
      </c>
      <c r="F63" s="11">
        <v>1632.0002959999999</v>
      </c>
      <c r="G63">
        <v>1</v>
      </c>
    </row>
    <row r="64" spans="1:7" x14ac:dyDescent="0.25">
      <c r="A64" t="s">
        <v>9</v>
      </c>
      <c r="B64" cm="1">
        <f t="array" ref="B64">_xlfn.IFS(ISNUMBER(FIND("R13C",A64)),3,ISNUMBER(FIND("R22C",A64)),2)</f>
        <v>3</v>
      </c>
      <c r="C64">
        <f>VLOOKUP(D64,ColRef!A$1:B$258, 2, FALSE)</f>
        <v>2040.0001990000001</v>
      </c>
      <c r="D64">
        <v>76</v>
      </c>
      <c r="F64" s="12">
        <v>166</v>
      </c>
      <c r="G64">
        <v>1</v>
      </c>
    </row>
    <row r="65" spans="1:7" x14ac:dyDescent="0.25">
      <c r="A65" t="s">
        <v>9</v>
      </c>
      <c r="B65" cm="1">
        <f t="array" ref="B65">_xlfn.IFS(ISNUMBER(FIND("R13C",A65)),3,ISNUMBER(FIND("R22C",A65)),2)</f>
        <v>3</v>
      </c>
      <c r="C65">
        <f>VLOOKUP(D65,ColRef!A$1:B$258, 2, FALSE)</f>
        <v>2028.729484</v>
      </c>
      <c r="D65">
        <v>78</v>
      </c>
      <c r="F65" s="11">
        <v>2384.415649</v>
      </c>
      <c r="G65">
        <v>1</v>
      </c>
    </row>
    <row r="66" spans="1:7" x14ac:dyDescent="0.25">
      <c r="A66" t="s">
        <v>9</v>
      </c>
      <c r="B66" cm="1">
        <f t="array" ref="B66">_xlfn.IFS(ISNUMBER(FIND("R13C",A66)),3,ISNUMBER(FIND("R22C",A66)),2)</f>
        <v>3</v>
      </c>
      <c r="C66">
        <f>VLOOKUP(D66,ColRef!A$1:B$258, 2, FALSE)</f>
        <v>2361.4148660000001</v>
      </c>
      <c r="D66">
        <v>27</v>
      </c>
      <c r="F66" s="12">
        <v>24</v>
      </c>
      <c r="G66">
        <v>1</v>
      </c>
    </row>
    <row r="67" spans="1:7" x14ac:dyDescent="0.25">
      <c r="A67" t="s">
        <v>9</v>
      </c>
      <c r="B67" cm="1">
        <f t="array" ref="B67">_xlfn.IFS(ISNUMBER(FIND("R13C",A67)),3,ISNUMBER(FIND("R22C",A67)),2)</f>
        <v>3</v>
      </c>
      <c r="C67">
        <f>VLOOKUP(D67,ColRef!A$1:B$258, 2, FALSE)</f>
        <v>2116.4266859999998</v>
      </c>
      <c r="D67">
        <v>63</v>
      </c>
      <c r="F67" s="11">
        <v>1728.0002790000001</v>
      </c>
      <c r="G67">
        <v>1</v>
      </c>
    </row>
    <row r="68" spans="1:7" x14ac:dyDescent="0.25">
      <c r="A68" t="s">
        <v>9</v>
      </c>
      <c r="B68" cm="1">
        <f t="array" ref="B68">_xlfn.IFS(ISNUMBER(FIND("R13C",A68)),3,ISNUMBER(FIND("R22C",A68)),2)</f>
        <v>3</v>
      </c>
      <c r="C68">
        <f>VLOOKUP(D68,ColRef!A$1:B$258, 2, FALSE)</f>
        <v>2400.0000570000002</v>
      </c>
      <c r="D68">
        <v>22</v>
      </c>
      <c r="F68" s="12">
        <v>141</v>
      </c>
      <c r="G68">
        <v>1</v>
      </c>
    </row>
    <row r="69" spans="1:7" x14ac:dyDescent="0.25">
      <c r="A69" t="s">
        <v>9</v>
      </c>
      <c r="B69" cm="1">
        <f t="array" ref="B69">_xlfn.IFS(ISNUMBER(FIND("R13C",A69)),3,ISNUMBER(FIND("R22C",A69)),2)</f>
        <v>3</v>
      </c>
      <c r="C69">
        <f>VLOOKUP(D69,ColRef!A$1:B$258, 2, FALSE)</f>
        <v>2166.3718370000001</v>
      </c>
      <c r="D69">
        <v>55</v>
      </c>
      <c r="F69" s="11">
        <v>1511.1114219999999</v>
      </c>
      <c r="G69">
        <v>1</v>
      </c>
    </row>
    <row r="70" spans="1:7" x14ac:dyDescent="0.25">
      <c r="A70" t="s">
        <v>9</v>
      </c>
      <c r="B70" cm="1">
        <f t="array" ref="B70">_xlfn.IFS(ISNUMBER(FIND("R13C",A70)),3,ISNUMBER(FIND("R22C",A70)),2)</f>
        <v>3</v>
      </c>
      <c r="C70">
        <f>VLOOKUP(D70,ColRef!A$1:B$258, 2, FALSE)</f>
        <v>2045.6826490000001</v>
      </c>
      <c r="D70">
        <v>75</v>
      </c>
      <c r="F70" s="12">
        <v>202</v>
      </c>
      <c r="G70">
        <v>1</v>
      </c>
    </row>
    <row r="71" spans="1:7" x14ac:dyDescent="0.25">
      <c r="A71" t="s">
        <v>9</v>
      </c>
      <c r="B71" cm="1">
        <f t="array" ref="B71">_xlfn.IFS(ISNUMBER(FIND("R13C",A71)),3,ISNUMBER(FIND("R22C",A71)),2)</f>
        <v>3</v>
      </c>
      <c r="C71">
        <f>VLOOKUP(D71,ColRef!A$1:B$258, 2, FALSE)</f>
        <v>2023.1406999999999</v>
      </c>
      <c r="D71">
        <v>79</v>
      </c>
      <c r="F71" s="11">
        <v>2001.09013</v>
      </c>
      <c r="G71">
        <v>1</v>
      </c>
    </row>
    <row r="72" spans="1:7" x14ac:dyDescent="0.25">
      <c r="A72" t="s">
        <v>9</v>
      </c>
      <c r="B72" cm="1">
        <f t="array" ref="B72">_xlfn.IFS(ISNUMBER(FIND("R13C",A72)),3,ISNUMBER(FIND("R22C",A72)),2)</f>
        <v>3</v>
      </c>
      <c r="C72">
        <f>VLOOKUP(D72,ColRef!A$1:B$258, 2, FALSE)</f>
        <v>2423.7624219999998</v>
      </c>
      <c r="D72">
        <v>19</v>
      </c>
      <c r="F72" s="12">
        <v>83</v>
      </c>
      <c r="G72">
        <v>1</v>
      </c>
    </row>
    <row r="73" spans="1:7" x14ac:dyDescent="0.25">
      <c r="A73" t="s">
        <v>11</v>
      </c>
      <c r="B73" cm="1">
        <f t="array" ref="B73">_xlfn.IFS(ISNUMBER(FIND("R13C",A73)),3,ISNUMBER(FIND("R22C",A73)),2)</f>
        <v>3</v>
      </c>
      <c r="C73">
        <f>VLOOKUP(D73,ColRef!A$1:B$258, 2, FALSE)</f>
        <v>2361.4148660000001</v>
      </c>
      <c r="D73">
        <v>27</v>
      </c>
      <c r="F73" s="11">
        <v>2324.0507240000002</v>
      </c>
      <c r="G73">
        <v>1</v>
      </c>
    </row>
    <row r="74" spans="1:7" x14ac:dyDescent="0.25">
      <c r="A74" t="s">
        <v>11</v>
      </c>
      <c r="B74" cm="1">
        <f t="array" ref="B74">_xlfn.IFS(ISNUMBER(FIND("R13C",A74)),3,ISNUMBER(FIND("R22C",A74)),2)</f>
        <v>3</v>
      </c>
      <c r="C74">
        <f>VLOOKUP(D74,ColRef!A$1:B$258, 2, FALSE)</f>
        <v>2353.8462319999999</v>
      </c>
      <c r="D74">
        <v>28</v>
      </c>
      <c r="F74" s="12">
        <v>32</v>
      </c>
      <c r="G74">
        <v>1</v>
      </c>
    </row>
    <row r="75" spans="1:7" x14ac:dyDescent="0.25">
      <c r="A75" t="s">
        <v>11</v>
      </c>
      <c r="B75" cm="1">
        <f t="array" ref="B75">_xlfn.IFS(ISNUMBER(FIND("R13C",A75)),3,ISNUMBER(FIND("R22C",A75)),2)</f>
        <v>3</v>
      </c>
      <c r="C75">
        <f>VLOOKUP(D75,ColRef!A$1:B$258, 2, FALSE)</f>
        <v>2369.03233</v>
      </c>
      <c r="D75">
        <v>26</v>
      </c>
      <c r="F75" s="11">
        <v>1621.19235</v>
      </c>
      <c r="G75">
        <v>1</v>
      </c>
    </row>
    <row r="76" spans="1:7" x14ac:dyDescent="0.25">
      <c r="A76" t="s">
        <v>11</v>
      </c>
      <c r="B76" cm="1">
        <f t="array" ref="B76">_xlfn.IFS(ISNUMBER(FIND("R13C",A76)),3,ISNUMBER(FIND("R22C",A76)),2)</f>
        <v>3</v>
      </c>
      <c r="C76">
        <f>VLOOKUP(D76,ColRef!A$1:B$258, 2, FALSE)</f>
        <v>2376.6990970000002</v>
      </c>
      <c r="D76">
        <v>25</v>
      </c>
      <c r="F76" s="12">
        <v>169</v>
      </c>
      <c r="G76">
        <v>1</v>
      </c>
    </row>
    <row r="77" spans="1:7" x14ac:dyDescent="0.25">
      <c r="A77" t="s">
        <v>11</v>
      </c>
      <c r="B77" cm="1">
        <f t="array" ref="B77">_xlfn.IFS(ISNUMBER(FIND("R13C",A77)),3,ISNUMBER(FIND("R22C",A77)),2)</f>
        <v>3</v>
      </c>
      <c r="C77">
        <f>VLOOKUP(D77,ColRef!A$1:B$258, 2, FALSE)</f>
        <v>2309.43406</v>
      </c>
      <c r="D77">
        <v>34</v>
      </c>
      <c r="F77" s="11">
        <v>1676.7126169999999</v>
      </c>
      <c r="G77">
        <v>1</v>
      </c>
    </row>
    <row r="78" spans="1:7" x14ac:dyDescent="0.25">
      <c r="A78" t="s">
        <v>11</v>
      </c>
      <c r="B78" cm="1">
        <f t="array" ref="B78">_xlfn.IFS(ISNUMBER(FIND("R13C",A78)),3,ISNUMBER(FIND("R22C",A78)),2)</f>
        <v>3</v>
      </c>
      <c r="C78">
        <f>VLOOKUP(D78,ColRef!A$1:B$258, 2, FALSE)</f>
        <v>1984.8650809999999</v>
      </c>
      <c r="D78">
        <v>86</v>
      </c>
      <c r="F78" s="12">
        <v>154</v>
      </c>
      <c r="G78">
        <v>1</v>
      </c>
    </row>
    <row r="79" spans="1:7" x14ac:dyDescent="0.25">
      <c r="A79" t="s">
        <v>13</v>
      </c>
      <c r="B79" cm="1">
        <f t="array" ref="B79">_xlfn.IFS(ISNUMBER(FIND("R13C",A79)),3,ISNUMBER(FIND("R22C",A79)),2)</f>
        <v>3</v>
      </c>
      <c r="C79">
        <f>VLOOKUP(D79,ColRef!A$1:B$258, 2, FALSE)</f>
        <v>2172.7812180000001</v>
      </c>
      <c r="D79">
        <v>54</v>
      </c>
      <c r="F79" s="11">
        <v>1628.3816710000001</v>
      </c>
      <c r="G79">
        <v>1</v>
      </c>
    </row>
    <row r="80" spans="1:7" x14ac:dyDescent="0.25">
      <c r="A80" t="s">
        <v>13</v>
      </c>
      <c r="B80" cm="1">
        <f t="array" ref="B80">_xlfn.IFS(ISNUMBER(FIND("R13C",A80)),3,ISNUMBER(FIND("R22C",A80)),2)</f>
        <v>3</v>
      </c>
      <c r="C80">
        <f>VLOOKUP(D80,ColRef!A$1:B$258, 2, FALSE)</f>
        <v>2160.0001579999998</v>
      </c>
      <c r="D80">
        <v>56</v>
      </c>
      <c r="F80" s="12">
        <v>167</v>
      </c>
      <c r="G80">
        <v>1</v>
      </c>
    </row>
    <row r="81" spans="1:7" x14ac:dyDescent="0.25">
      <c r="A81" t="s">
        <v>13</v>
      </c>
      <c r="B81" cm="1">
        <f t="array" ref="B81">_xlfn.IFS(ISNUMBER(FIND("R13C",A81)),3,ISNUMBER(FIND("R22C",A81)),2)</f>
        <v>3</v>
      </c>
      <c r="C81">
        <f>VLOOKUP(D81,ColRef!A$1:B$258, 2, FALSE)</f>
        <v>2166.3718370000001</v>
      </c>
      <c r="D81">
        <v>55</v>
      </c>
      <c r="F81" s="11">
        <v>2040.0001990000001</v>
      </c>
      <c r="G81">
        <v>1</v>
      </c>
    </row>
    <row r="82" spans="1:7" x14ac:dyDescent="0.25">
      <c r="A82" t="s">
        <v>13</v>
      </c>
      <c r="B82" cm="1">
        <f t="array" ref="B82">_xlfn.IFS(ISNUMBER(FIND("R13C",A82)),3,ISNUMBER(FIND("R22C",A82)),2)</f>
        <v>3</v>
      </c>
      <c r="C82">
        <f>VLOOKUP(D82,ColRef!A$1:B$258, 2, FALSE)</f>
        <v>2179.2286370000002</v>
      </c>
      <c r="D82">
        <v>53</v>
      </c>
      <c r="F82" s="12">
        <v>76</v>
      </c>
      <c r="G82">
        <v>1</v>
      </c>
    </row>
    <row r="83" spans="1:7" x14ac:dyDescent="0.25">
      <c r="A83" t="s">
        <v>13</v>
      </c>
      <c r="B83" cm="1">
        <f t="array" ref="B83">_xlfn.IFS(ISNUMBER(FIND("R13C",A83)),3,ISNUMBER(FIND("R22C",A83)),2)</f>
        <v>3</v>
      </c>
      <c r="C83">
        <f>VLOOKUP(D83,ColRef!A$1:B$258, 2, FALSE)</f>
        <v>2147.3685829999999</v>
      </c>
      <c r="D83">
        <v>58</v>
      </c>
      <c r="F83" s="11">
        <v>1922.5133229999999</v>
      </c>
      <c r="G83">
        <v>1</v>
      </c>
    </row>
    <row r="84" spans="1:7" x14ac:dyDescent="0.25">
      <c r="A84" t="s">
        <v>13</v>
      </c>
      <c r="B84" cm="1">
        <f t="array" ref="B84">_xlfn.IFS(ISNUMBER(FIND("R13C",A84)),3,ISNUMBER(FIND("R22C",A84)),2)</f>
        <v>3</v>
      </c>
      <c r="C84">
        <f>VLOOKUP(D84,ColRef!A$1:B$258, 2, FALSE)</f>
        <v>2153.665849</v>
      </c>
      <c r="D84">
        <v>57</v>
      </c>
      <c r="F84" s="12">
        <v>98</v>
      </c>
      <c r="G84">
        <v>1</v>
      </c>
    </row>
    <row r="85" spans="1:7" x14ac:dyDescent="0.25">
      <c r="A85" t="s">
        <v>13</v>
      </c>
      <c r="B85" cm="1">
        <f t="array" ref="B85">_xlfn.IFS(ISNUMBER(FIND("R13C",A85)),3,ISNUMBER(FIND("R22C",A85)),2)</f>
        <v>3</v>
      </c>
      <c r="C85">
        <f>VLOOKUP(D85,ColRef!A$1:B$258, 2, FALSE)</f>
        <v>2141.1080360000001</v>
      </c>
      <c r="D85">
        <v>59</v>
      </c>
      <c r="F85" s="11">
        <v>1526.819436</v>
      </c>
      <c r="G85">
        <v>1</v>
      </c>
    </row>
    <row r="86" spans="1:7" x14ac:dyDescent="0.25">
      <c r="A86" t="s">
        <v>13</v>
      </c>
      <c r="B86" cm="1">
        <f t="array" ref="B86">_xlfn.IFS(ISNUMBER(FIND("R13C",A86)),3,ISNUMBER(FIND("R22C",A86)),2)</f>
        <v>3</v>
      </c>
      <c r="C86">
        <f>VLOOKUP(D86,ColRef!A$1:B$258, 2, FALSE)</f>
        <v>2134.8838879999998</v>
      </c>
      <c r="D86">
        <v>60</v>
      </c>
      <c r="F86" s="12">
        <v>197</v>
      </c>
      <c r="G86">
        <v>1</v>
      </c>
    </row>
    <row r="87" spans="1:7" x14ac:dyDescent="0.25">
      <c r="A87" t="s">
        <v>13</v>
      </c>
      <c r="B87" cm="1">
        <f t="array" ref="B87">_xlfn.IFS(ISNUMBER(FIND("R13C",A87)),3,ISNUMBER(FIND("R22C",A87)),2)</f>
        <v>3</v>
      </c>
      <c r="C87">
        <f>VLOOKUP(D87,ColRef!A$1:B$258, 2, FALSE)</f>
        <v>1669.091199</v>
      </c>
      <c r="D87">
        <v>156</v>
      </c>
      <c r="F87" s="11">
        <v>1912.500237</v>
      </c>
      <c r="G87">
        <v>1</v>
      </c>
    </row>
    <row r="88" spans="1:7" x14ac:dyDescent="0.25">
      <c r="A88" t="s">
        <v>13</v>
      </c>
      <c r="B88" cm="1">
        <f t="array" ref="B88">_xlfn.IFS(ISNUMBER(FIND("R13C",A88)),3,ISNUMBER(FIND("R22C",A88)),2)</f>
        <v>3</v>
      </c>
      <c r="C88">
        <f>VLOOKUP(D88,ColRef!A$1:B$258, 2, FALSE)</f>
        <v>1621.19235</v>
      </c>
      <c r="D88">
        <v>169</v>
      </c>
      <c r="F88" s="12">
        <v>100</v>
      </c>
      <c r="G88">
        <v>1</v>
      </c>
    </row>
    <row r="89" spans="1:7" x14ac:dyDescent="0.25">
      <c r="A89" t="s">
        <v>13</v>
      </c>
      <c r="B89" cm="1">
        <f t="array" ref="B89">_xlfn.IFS(ISNUMBER(FIND("R13C",A89)),3,ISNUMBER(FIND("R22C",A89)),2)</f>
        <v>3</v>
      </c>
      <c r="C89">
        <f>VLOOKUP(D89,ColRef!A$1:B$258, 2, FALSE)</f>
        <v>2128.6958209999998</v>
      </c>
      <c r="D89">
        <v>61</v>
      </c>
      <c r="F89" s="11">
        <v>1990.244117</v>
      </c>
      <c r="G89">
        <v>1</v>
      </c>
    </row>
    <row r="90" spans="1:7" x14ac:dyDescent="0.25">
      <c r="A90" t="s">
        <v>13</v>
      </c>
      <c r="B90" cm="1">
        <f t="array" ref="B90">_xlfn.IFS(ISNUMBER(FIND("R13C",A90)),3,ISNUMBER(FIND("R22C",A90)),2)</f>
        <v>3</v>
      </c>
      <c r="C90">
        <f>VLOOKUP(D90,ColRef!A$1:B$258, 2, FALSE)</f>
        <v>1661.538753</v>
      </c>
      <c r="D90">
        <v>158</v>
      </c>
      <c r="F90" s="12">
        <v>85</v>
      </c>
      <c r="G90">
        <v>1</v>
      </c>
    </row>
    <row r="91" spans="1:7" x14ac:dyDescent="0.25">
      <c r="A91" t="s">
        <v>13</v>
      </c>
      <c r="B91" cm="1">
        <f t="array" ref="B91">_xlfn.IFS(ISNUMBER(FIND("R13C",A91)),3,ISNUMBER(FIND("R22C",A91)),2)</f>
        <v>3</v>
      </c>
      <c r="C91">
        <f>VLOOKUP(D91,ColRef!A$1:B$258, 2, FALSE)</f>
        <v>1863.95964</v>
      </c>
      <c r="D91">
        <v>110</v>
      </c>
      <c r="F91" s="11">
        <v>1822.3327650000001</v>
      </c>
      <c r="G91">
        <v>1</v>
      </c>
    </row>
    <row r="92" spans="1:7" x14ac:dyDescent="0.25">
      <c r="A92" t="s">
        <v>13</v>
      </c>
      <c r="B92" cm="1">
        <f t="array" ref="B92">_xlfn.IFS(ISNUMBER(FIND("R13C",A92)),3,ISNUMBER(FIND("R22C",A92)),2)</f>
        <v>3</v>
      </c>
      <c r="C92">
        <f>VLOOKUP(D92,ColRef!A$1:B$258, 2, FALSE)</f>
        <v>1963.6365860000001</v>
      </c>
      <c r="D92">
        <v>90</v>
      </c>
      <c r="F92" s="12">
        <v>119</v>
      </c>
      <c r="G92">
        <v>1</v>
      </c>
    </row>
    <row r="93" spans="1:7" x14ac:dyDescent="0.25">
      <c r="A93" t="s">
        <v>13</v>
      </c>
      <c r="B93" cm="1">
        <f t="array" ref="B93">_xlfn.IFS(ISNUMBER(FIND("R13C",A93)),3,ISNUMBER(FIND("R22C",A93)),2)</f>
        <v>3</v>
      </c>
      <c r="C93">
        <f>VLOOKUP(D93,ColRef!A$1:B$258, 2, FALSE)</f>
        <v>1624.7790580000001</v>
      </c>
      <c r="D93">
        <v>168</v>
      </c>
      <c r="F93" s="11">
        <v>1817.822042</v>
      </c>
      <c r="G93">
        <v>1</v>
      </c>
    </row>
    <row r="94" spans="1:7" x14ac:dyDescent="0.25">
      <c r="A94" t="s">
        <v>13</v>
      </c>
      <c r="B94" cm="1">
        <f t="array" ref="B94">_xlfn.IFS(ISNUMBER(FIND("R13C",A94)),3,ISNUMBER(FIND("R22C",A94)),2)</f>
        <v>3</v>
      </c>
      <c r="C94">
        <f>VLOOKUP(D94,ColRef!A$1:B$258, 2, FALSE)</f>
        <v>1628.3816710000001</v>
      </c>
      <c r="D94">
        <v>167</v>
      </c>
      <c r="F94" s="12">
        <v>120</v>
      </c>
      <c r="G94">
        <v>1</v>
      </c>
    </row>
    <row r="95" spans="1:7" x14ac:dyDescent="0.25">
      <c r="A95" t="s">
        <v>13</v>
      </c>
      <c r="B95" cm="1">
        <f t="array" ref="B95">_xlfn.IFS(ISNUMBER(FIND("R13C",A95)),3,ISNUMBER(FIND("R22C",A95)),2)</f>
        <v>3</v>
      </c>
      <c r="C95">
        <f>VLOOKUP(D95,ColRef!A$1:B$258, 2, FALSE)</f>
        <v>2185.714434</v>
      </c>
      <c r="D95">
        <v>52</v>
      </c>
      <c r="F95" s="11">
        <v>1696.074188</v>
      </c>
      <c r="G95">
        <v>1</v>
      </c>
    </row>
    <row r="96" spans="1:7" x14ac:dyDescent="0.25">
      <c r="A96" t="s">
        <v>13</v>
      </c>
      <c r="B96" cm="1">
        <f t="array" ref="B96">_xlfn.IFS(ISNUMBER(FIND("R13C",A96)),3,ISNUMBER(FIND("R22C",A96)),2)</f>
        <v>3</v>
      </c>
      <c r="C96">
        <f>VLOOKUP(D96,ColRef!A$1:B$258, 2, FALSE)</f>
        <v>1958.400224</v>
      </c>
      <c r="D96">
        <v>91</v>
      </c>
      <c r="F96" s="12">
        <v>149</v>
      </c>
      <c r="G96">
        <v>1</v>
      </c>
    </row>
    <row r="97" spans="1:7" x14ac:dyDescent="0.25">
      <c r="A97" t="s">
        <v>13</v>
      </c>
      <c r="B97" cm="1">
        <f t="array" ref="B97">_xlfn.IFS(ISNUMBER(FIND("R13C",A97)),3,ISNUMBER(FIND("R22C",A97)),2)</f>
        <v>3</v>
      </c>
      <c r="C97">
        <f>VLOOKUP(D97,ColRef!A$1:B$258, 2, FALSE)</f>
        <v>1657.788102</v>
      </c>
      <c r="D97">
        <v>159</v>
      </c>
      <c r="F97" s="11">
        <v>2239.0245169999998</v>
      </c>
      <c r="G97">
        <v>1</v>
      </c>
    </row>
    <row r="98" spans="1:7" x14ac:dyDescent="0.25">
      <c r="A98" t="s">
        <v>13</v>
      </c>
      <c r="B98" cm="1">
        <f t="array" ref="B98">_xlfn.IFS(ISNUMBER(FIND("R13C",A98)),3,ISNUMBER(FIND("R22C",A98)),2)</f>
        <v>3</v>
      </c>
      <c r="C98">
        <f>VLOOKUP(D98,ColRef!A$1:B$258, 2, FALSE)</f>
        <v>2122.5435240000002</v>
      </c>
      <c r="D98">
        <v>62</v>
      </c>
      <c r="F98" s="12">
        <v>44</v>
      </c>
      <c r="G98">
        <v>1</v>
      </c>
    </row>
    <row r="99" spans="1:7" x14ac:dyDescent="0.25">
      <c r="A99" t="s">
        <v>13</v>
      </c>
      <c r="B99" cm="1">
        <f t="array" ref="B99">_xlfn.IFS(ISNUMBER(FIND("R13C",A99)),3,ISNUMBER(FIND("R22C",A99)),2)</f>
        <v>3</v>
      </c>
      <c r="C99">
        <f>VLOOKUP(D99,ColRef!A$1:B$258, 2, FALSE)</f>
        <v>1632.0002959999999</v>
      </c>
      <c r="D99">
        <v>166</v>
      </c>
      <c r="F99" s="11">
        <v>1692.1661839999999</v>
      </c>
      <c r="G99">
        <v>1</v>
      </c>
    </row>
    <row r="100" spans="1:7" x14ac:dyDescent="0.25">
      <c r="A100" t="s">
        <v>13</v>
      </c>
      <c r="B100" cm="1">
        <f t="array" ref="B100">_xlfn.IFS(ISNUMBER(FIND("R13C",A100)),3,ISNUMBER(FIND("R22C",A100)),2)</f>
        <v>3</v>
      </c>
      <c r="C100">
        <f>VLOOKUP(D100,ColRef!A$1:B$258, 2, FALSE)</f>
        <v>1878.261115</v>
      </c>
      <c r="D100">
        <v>107</v>
      </c>
      <c r="F100" s="12">
        <v>150</v>
      </c>
      <c r="G100">
        <v>1</v>
      </c>
    </row>
    <row r="101" spans="1:7" x14ac:dyDescent="0.25">
      <c r="A101" t="s">
        <v>13</v>
      </c>
      <c r="B101" cm="1">
        <f t="array" ref="B101">_xlfn.IFS(ISNUMBER(FIND("R13C",A101)),3,ISNUMBER(FIND("R22C",A101)),2)</f>
        <v>3</v>
      </c>
      <c r="C101">
        <f>VLOOKUP(D101,ColRef!A$1:B$258, 2, FALSE)</f>
        <v>1922.5133229999999</v>
      </c>
      <c r="D101">
        <v>98</v>
      </c>
      <c r="F101" s="11">
        <v>1603.4937500000001</v>
      </c>
      <c r="G101">
        <v>1</v>
      </c>
    </row>
    <row r="102" spans="1:7" x14ac:dyDescent="0.25">
      <c r="A102" t="s">
        <v>13</v>
      </c>
      <c r="B102" cm="1">
        <f t="array" ref="B102">_xlfn.IFS(ISNUMBER(FIND("R13C",A102)),3,ISNUMBER(FIND("R22C",A102)),2)</f>
        <v>3</v>
      </c>
      <c r="C102">
        <f>VLOOKUP(D102,ColRef!A$1:B$258, 2, FALSE)</f>
        <v>1635.635039</v>
      </c>
      <c r="D102">
        <v>165</v>
      </c>
      <c r="F102" s="12">
        <v>174</v>
      </c>
      <c r="G102">
        <v>1</v>
      </c>
    </row>
    <row r="103" spans="1:7" x14ac:dyDescent="0.25">
      <c r="A103" t="s">
        <v>13</v>
      </c>
      <c r="B103" cm="1">
        <f t="array" ref="B103">_xlfn.IFS(ISNUMBER(FIND("R13C",A103)),3,ISNUMBER(FIND("R22C",A103)),2)</f>
        <v>3</v>
      </c>
      <c r="C103">
        <f>VLOOKUP(D103,ColRef!A$1:B$258, 2, FALSE)</f>
        <v>1873.4696349999999</v>
      </c>
      <c r="D103">
        <v>108</v>
      </c>
      <c r="F103" s="11">
        <v>2346.3259600000001</v>
      </c>
      <c r="G103">
        <v>1</v>
      </c>
    </row>
    <row r="104" spans="1:7" x14ac:dyDescent="0.25">
      <c r="A104" t="s">
        <v>13</v>
      </c>
      <c r="B104" cm="1">
        <f t="array" ref="B104">_xlfn.IFS(ISNUMBER(FIND("R13C",A104)),3,ISNUMBER(FIND("R22C",A104)),2)</f>
        <v>3</v>
      </c>
      <c r="C104">
        <f>VLOOKUP(D104,ColRef!A$1:B$258, 2, FALSE)</f>
        <v>1665.306413</v>
      </c>
      <c r="D104">
        <v>157</v>
      </c>
      <c r="F104" s="12">
        <v>29</v>
      </c>
      <c r="G104">
        <v>1</v>
      </c>
    </row>
    <row r="105" spans="1:7" x14ac:dyDescent="0.25">
      <c r="A105" t="s">
        <v>13</v>
      </c>
      <c r="B105" cm="1">
        <f t="array" ref="B105">_xlfn.IFS(ISNUMBER(FIND("R13C",A105)),3,ISNUMBER(FIND("R22C",A105)),2)</f>
        <v>3</v>
      </c>
      <c r="C105">
        <f>VLOOKUP(D105,ColRef!A$1:B$258, 2, FALSE)</f>
        <v>1907.5327050000001</v>
      </c>
      <c r="D105">
        <v>101</v>
      </c>
      <c r="F105" s="11">
        <v>1859.240757</v>
      </c>
      <c r="G105">
        <v>1</v>
      </c>
    </row>
    <row r="106" spans="1:7" x14ac:dyDescent="0.25">
      <c r="A106" t="s">
        <v>13</v>
      </c>
      <c r="B106" cm="1">
        <f t="array" ref="B106">_xlfn.IFS(ISNUMBER(FIND("R13C",A106)),3,ISNUMBER(FIND("R22C",A106)),2)</f>
        <v>3</v>
      </c>
      <c r="C106">
        <f>VLOOKUP(D106,ColRef!A$1:B$258, 2, FALSE)</f>
        <v>1912.500237</v>
      </c>
      <c r="D106">
        <v>100</v>
      </c>
      <c r="F106" s="12">
        <v>111</v>
      </c>
      <c r="G106">
        <v>1</v>
      </c>
    </row>
    <row r="107" spans="1:7" x14ac:dyDescent="0.25">
      <c r="A107" t="s">
        <v>13</v>
      </c>
      <c r="B107" cm="1">
        <f t="array" ref="B107">_xlfn.IFS(ISNUMBER(FIND("R13C",A107)),3,ISNUMBER(FIND("R22C",A107)),2)</f>
        <v>3</v>
      </c>
      <c r="C107">
        <f>VLOOKUP(D107,ColRef!A$1:B$258, 2, FALSE)</f>
        <v>1868.702538</v>
      </c>
      <c r="D107">
        <v>109</v>
      </c>
      <c r="F107" s="11">
        <v>1863.95964</v>
      </c>
      <c r="G107">
        <v>1</v>
      </c>
    </row>
    <row r="108" spans="1:7" x14ac:dyDescent="0.25">
      <c r="A108" t="s">
        <v>13</v>
      </c>
      <c r="B108" cm="1">
        <f t="array" ref="B108">_xlfn.IFS(ISNUMBER(FIND("R13C",A108)),3,ISNUMBER(FIND("R22C",A108)),2)</f>
        <v>3</v>
      </c>
      <c r="C108">
        <f>VLOOKUP(D108,ColRef!A$1:B$258, 2, FALSE)</f>
        <v>1728.0002790000001</v>
      </c>
      <c r="D108">
        <v>141</v>
      </c>
      <c r="F108" s="12">
        <v>110</v>
      </c>
      <c r="G108">
        <v>1</v>
      </c>
    </row>
    <row r="109" spans="1:7" x14ac:dyDescent="0.25">
      <c r="A109" t="s">
        <v>13</v>
      </c>
      <c r="B109" cm="1">
        <f t="array" ref="B109">_xlfn.IFS(ISNUMBER(FIND("R13C",A109)),3,ISNUMBER(FIND("R22C",A109)),2)</f>
        <v>3</v>
      </c>
      <c r="C109">
        <f>VLOOKUP(D109,ColRef!A$1:B$258, 2, FALSE)</f>
        <v>1917.493708</v>
      </c>
      <c r="D109">
        <v>99</v>
      </c>
      <c r="F109" s="11">
        <v>2541.1764579999999</v>
      </c>
      <c r="G109">
        <v>1</v>
      </c>
    </row>
    <row r="110" spans="1:7" x14ac:dyDescent="0.25">
      <c r="A110" t="s">
        <v>13</v>
      </c>
      <c r="B110" cm="1">
        <f t="array" ref="B110">_xlfn.IFS(ISNUMBER(FIND("R13C",A110)),3,ISNUMBER(FIND("R22C",A110)),2)</f>
        <v>3</v>
      </c>
      <c r="C110">
        <f>VLOOKUP(D110,ColRef!A$1:B$258, 2, FALSE)</f>
        <v>1822.3327650000001</v>
      </c>
      <c r="D110">
        <v>119</v>
      </c>
      <c r="F110" s="12">
        <v>5</v>
      </c>
      <c r="G110">
        <v>1</v>
      </c>
    </row>
    <row r="111" spans="1:7" x14ac:dyDescent="0.25">
      <c r="A111" t="s">
        <v>13</v>
      </c>
      <c r="B111" cm="1">
        <f t="array" ref="B111">_xlfn.IFS(ISNUMBER(FIND("R13C",A111)),3,ISNUMBER(FIND("R22C",A111)),2)</f>
        <v>3</v>
      </c>
      <c r="C111">
        <f>VLOOKUP(D111,ColRef!A$1:B$258, 2, FALSE)</f>
        <v>1817.822042</v>
      </c>
      <c r="D111">
        <v>120</v>
      </c>
      <c r="F111" s="11">
        <v>1624.7790580000001</v>
      </c>
      <c r="G111">
        <v>1</v>
      </c>
    </row>
    <row r="112" spans="1:7" x14ac:dyDescent="0.25">
      <c r="A112" t="s">
        <v>13</v>
      </c>
      <c r="B112" cm="1">
        <f t="array" ref="B112">_xlfn.IFS(ISNUMBER(FIND("R13C",A112)),3,ISNUMBER(FIND("R22C",A112)),2)</f>
        <v>3</v>
      </c>
      <c r="C112">
        <f>VLOOKUP(D112,ColRef!A$1:B$258, 2, FALSE)</f>
        <v>2045.6826490000001</v>
      </c>
      <c r="D112">
        <v>75</v>
      </c>
      <c r="F112" s="12">
        <v>168</v>
      </c>
      <c r="G112">
        <v>1</v>
      </c>
    </row>
    <row r="113" spans="1:7" x14ac:dyDescent="0.25">
      <c r="A113" t="s">
        <v>13</v>
      </c>
      <c r="B113" cm="1">
        <f t="array" ref="B113">_xlfn.IFS(ISNUMBER(FIND("R13C",A113)),3,ISNUMBER(FIND("R22C",A113)),2)</f>
        <v>3</v>
      </c>
      <c r="C113">
        <f>VLOOKUP(D113,ColRef!A$1:B$258, 2, FALSE)</f>
        <v>2239.0245169999998</v>
      </c>
      <c r="D113">
        <v>44</v>
      </c>
      <c r="F113" s="11">
        <v>1657.788102</v>
      </c>
      <c r="G113">
        <v>1</v>
      </c>
    </row>
    <row r="114" spans="1:7" x14ac:dyDescent="0.25">
      <c r="A114" t="s">
        <v>13</v>
      </c>
      <c r="B114" cm="1">
        <f t="array" ref="B114">_xlfn.IFS(ISNUMBER(FIND("R13C",A114)),3,ISNUMBER(FIND("R22C",A114)),2)</f>
        <v>3</v>
      </c>
      <c r="C114">
        <f>VLOOKUP(D114,ColRef!A$1:B$258, 2, FALSE)</f>
        <v>2051.396843</v>
      </c>
      <c r="D114">
        <v>74</v>
      </c>
      <c r="F114" s="12">
        <v>159</v>
      </c>
      <c r="G114">
        <v>1</v>
      </c>
    </row>
    <row r="115" spans="1:7" x14ac:dyDescent="0.25">
      <c r="A115" t="s">
        <v>13</v>
      </c>
      <c r="B115" cm="1">
        <f t="array" ref="B115">_xlfn.IFS(ISNUMBER(FIND("R13C",A115)),3,ISNUMBER(FIND("R22C",A115)),2)</f>
        <v>3</v>
      </c>
      <c r="C115">
        <f>VLOOKUP(D115,ColRef!A$1:B$258, 2, FALSE)</f>
        <v>1603.4937500000001</v>
      </c>
      <c r="D115">
        <v>174</v>
      </c>
      <c r="F115" s="11">
        <v>1958.400224</v>
      </c>
      <c r="G115">
        <v>1</v>
      </c>
    </row>
    <row r="116" spans="1:7" x14ac:dyDescent="0.25">
      <c r="A116" t="s">
        <v>13</v>
      </c>
      <c r="B116" cm="1">
        <f t="array" ref="B116">_xlfn.IFS(ISNUMBER(FIND("R13C",A116)),3,ISNUMBER(FIND("R22C",A116)),2)</f>
        <v>3</v>
      </c>
      <c r="C116">
        <f>VLOOKUP(D116,ColRef!A$1:B$258, 2, FALSE)</f>
        <v>1953.1917149999999</v>
      </c>
      <c r="D116">
        <v>92</v>
      </c>
      <c r="F116" s="12">
        <v>91</v>
      </c>
      <c r="G116">
        <v>1</v>
      </c>
    </row>
    <row r="117" spans="1:7" x14ac:dyDescent="0.25">
      <c r="A117" t="s">
        <v>13</v>
      </c>
      <c r="B117" cm="1">
        <f t="array" ref="B117">_xlfn.IFS(ISNUMBER(FIND("R13C",A117)),3,ISNUMBER(FIND("R22C",A117)),2)</f>
        <v>3</v>
      </c>
      <c r="C117">
        <f>VLOOKUP(D117,ColRef!A$1:B$258, 2, FALSE)</f>
        <v>1428.794093</v>
      </c>
      <c r="D117">
        <v>230</v>
      </c>
      <c r="F117" s="11">
        <v>1428.794093</v>
      </c>
      <c r="G117">
        <v>1</v>
      </c>
    </row>
    <row r="118" spans="1:7" x14ac:dyDescent="0.25">
      <c r="A118" t="s">
        <v>13</v>
      </c>
      <c r="B118" cm="1">
        <f t="array" ref="B118">_xlfn.IFS(ISNUMBER(FIND("R13C",A118)),3,ISNUMBER(FIND("R22C",A118)),2)</f>
        <v>3</v>
      </c>
      <c r="C118">
        <f>VLOOKUP(D118,ColRef!A$1:B$258, 2, FALSE)</f>
        <v>1859.240757</v>
      </c>
      <c r="D118">
        <v>111</v>
      </c>
      <c r="F118" s="12">
        <v>230</v>
      </c>
      <c r="G118">
        <v>1</v>
      </c>
    </row>
    <row r="119" spans="1:7" x14ac:dyDescent="0.25">
      <c r="A119" t="s">
        <v>13</v>
      </c>
      <c r="B119" cm="1">
        <f t="array" ref="B119">_xlfn.IFS(ISNUMBER(FIND("R13C",A119)),3,ISNUMBER(FIND("R22C",A119)),2)</f>
        <v>3</v>
      </c>
      <c r="C119">
        <f>VLOOKUP(D119,ColRef!A$1:B$258, 2, FALSE)</f>
        <v>2431.7881219999999</v>
      </c>
      <c r="D119">
        <v>18</v>
      </c>
      <c r="F119" s="11">
        <v>1878.261115</v>
      </c>
      <c r="G119">
        <v>1</v>
      </c>
    </row>
    <row r="120" spans="1:7" x14ac:dyDescent="0.25">
      <c r="A120" t="s">
        <v>13</v>
      </c>
      <c r="B120" cm="1">
        <f t="array" ref="B120">_xlfn.IFS(ISNUMBER(FIND("R13C",A120)),3,ISNUMBER(FIND("R22C",A120)),2)</f>
        <v>3</v>
      </c>
      <c r="C120">
        <f>VLOOKUP(D120,ColRef!A$1:B$258, 2, FALSE)</f>
        <v>2506.4846470000002</v>
      </c>
      <c r="D120">
        <v>9</v>
      </c>
      <c r="F120" s="12">
        <v>107</v>
      </c>
      <c r="G120">
        <v>1</v>
      </c>
    </row>
    <row r="121" spans="1:7" x14ac:dyDescent="0.25">
      <c r="A121" t="s">
        <v>13</v>
      </c>
      <c r="B121" cm="1">
        <f t="array" ref="B121">_xlfn.IFS(ISNUMBER(FIND("R13C",A121)),3,ISNUMBER(FIND("R22C",A121)),2)</f>
        <v>3</v>
      </c>
      <c r="C121">
        <f>VLOOKUP(D121,ColRef!A$1:B$258, 2, FALSE)</f>
        <v>2541.1764579999999</v>
      </c>
      <c r="D121">
        <v>5</v>
      </c>
      <c r="F121" s="11">
        <v>2415.7895229999999</v>
      </c>
      <c r="G121">
        <v>1</v>
      </c>
    </row>
    <row r="122" spans="1:7" x14ac:dyDescent="0.25">
      <c r="A122" t="s">
        <v>13</v>
      </c>
      <c r="B122" cm="1">
        <f t="array" ref="B122">_xlfn.IFS(ISNUMBER(FIND("R13C",A122)),3,ISNUMBER(FIND("R22C",A122)),2)</f>
        <v>3</v>
      </c>
      <c r="C122">
        <f>VLOOKUP(D122,ColRef!A$1:B$258, 2, FALSE)</f>
        <v>1826.8659299999999</v>
      </c>
      <c r="D122">
        <v>118</v>
      </c>
      <c r="F122" s="12">
        <v>20</v>
      </c>
      <c r="G122">
        <v>1</v>
      </c>
    </row>
    <row r="123" spans="1:7" x14ac:dyDescent="0.25">
      <c r="A123" t="s">
        <v>13</v>
      </c>
      <c r="B123" cm="1">
        <f t="array" ref="B123">_xlfn.IFS(ISNUMBER(FIND("R13C",A123)),3,ISNUMBER(FIND("R22C",A123)),2)</f>
        <v>3</v>
      </c>
      <c r="C123">
        <f>VLOOKUP(D123,ColRef!A$1:B$258, 2, FALSE)</f>
        <v>1672.8932279999999</v>
      </c>
      <c r="D123">
        <v>155</v>
      </c>
      <c r="F123" s="11">
        <v>1635.635039</v>
      </c>
      <c r="G123">
        <v>1</v>
      </c>
    </row>
    <row r="124" spans="1:7" x14ac:dyDescent="0.25">
      <c r="F124" s="12">
        <v>165</v>
      </c>
      <c r="G124">
        <v>1</v>
      </c>
    </row>
    <row r="125" spans="1:7" x14ac:dyDescent="0.25">
      <c r="F125" s="11">
        <v>1420.5032200000001</v>
      </c>
      <c r="G125">
        <v>1</v>
      </c>
    </row>
    <row r="126" spans="1:7" x14ac:dyDescent="0.25">
      <c r="F126" s="12">
        <v>233</v>
      </c>
      <c r="G126">
        <v>1</v>
      </c>
    </row>
    <row r="127" spans="1:7" x14ac:dyDescent="0.25">
      <c r="F127" s="11">
        <v>1907.5327050000001</v>
      </c>
      <c r="G127">
        <v>1</v>
      </c>
    </row>
    <row r="128" spans="1:7" x14ac:dyDescent="0.25">
      <c r="F128" s="12">
        <v>101</v>
      </c>
      <c r="G128">
        <v>1</v>
      </c>
    </row>
    <row r="129" spans="6:7" x14ac:dyDescent="0.25">
      <c r="F129" s="11">
        <v>2205.405546</v>
      </c>
      <c r="G129">
        <v>1</v>
      </c>
    </row>
    <row r="130" spans="6:7" x14ac:dyDescent="0.25">
      <c r="F130" s="12">
        <v>49</v>
      </c>
      <c r="G130">
        <v>1</v>
      </c>
    </row>
    <row r="131" spans="6:7" x14ac:dyDescent="0.25">
      <c r="F131" s="11">
        <v>1868.702538</v>
      </c>
      <c r="G131">
        <v>1</v>
      </c>
    </row>
    <row r="132" spans="6:7" x14ac:dyDescent="0.25">
      <c r="F132" s="12">
        <v>109</v>
      </c>
      <c r="G132">
        <v>1</v>
      </c>
    </row>
    <row r="133" spans="6:7" x14ac:dyDescent="0.25">
      <c r="F133" s="11">
        <v>1462.948523</v>
      </c>
      <c r="G133">
        <v>1</v>
      </c>
    </row>
    <row r="134" spans="6:7" x14ac:dyDescent="0.25">
      <c r="F134" s="12">
        <v>218</v>
      </c>
      <c r="G134">
        <v>1</v>
      </c>
    </row>
    <row r="135" spans="6:7" x14ac:dyDescent="0.25">
      <c r="F135" s="11">
        <v>1917.493708</v>
      </c>
      <c r="G135">
        <v>1</v>
      </c>
    </row>
    <row r="136" spans="6:7" x14ac:dyDescent="0.25">
      <c r="F136" s="12">
        <v>99</v>
      </c>
      <c r="G136">
        <v>1</v>
      </c>
    </row>
    <row r="137" spans="6:7" x14ac:dyDescent="0.25">
      <c r="F137" s="11">
        <v>1719.906604</v>
      </c>
      <c r="G137">
        <v>1</v>
      </c>
    </row>
    <row r="138" spans="6:7" x14ac:dyDescent="0.25">
      <c r="F138" s="12">
        <v>143</v>
      </c>
      <c r="G138">
        <v>1</v>
      </c>
    </row>
    <row r="139" spans="6:7" x14ac:dyDescent="0.25">
      <c r="F139" s="11">
        <v>1471.743802</v>
      </c>
      <c r="G139">
        <v>1</v>
      </c>
    </row>
    <row r="140" spans="6:7" x14ac:dyDescent="0.25">
      <c r="F140" s="12">
        <v>215</v>
      </c>
      <c r="G140">
        <v>1</v>
      </c>
    </row>
    <row r="141" spans="6:7" x14ac:dyDescent="0.25">
      <c r="F141" s="11">
        <v>2309.43406</v>
      </c>
      <c r="G141">
        <v>1</v>
      </c>
    </row>
    <row r="142" spans="6:7" x14ac:dyDescent="0.25">
      <c r="F142" s="12">
        <v>34</v>
      </c>
      <c r="G142">
        <v>1</v>
      </c>
    </row>
    <row r="143" spans="6:7" x14ac:dyDescent="0.25">
      <c r="F143" s="11">
        <v>2051.396843</v>
      </c>
      <c r="G143">
        <v>1</v>
      </c>
    </row>
    <row r="144" spans="6:7" x14ac:dyDescent="0.25">
      <c r="F144" s="12">
        <v>74</v>
      </c>
      <c r="G144">
        <v>1</v>
      </c>
    </row>
    <row r="145" spans="6:7" x14ac:dyDescent="0.25">
      <c r="F145" s="11">
        <v>2023.1406999999999</v>
      </c>
      <c r="G145">
        <v>1</v>
      </c>
    </row>
    <row r="146" spans="6:7" x14ac:dyDescent="0.25">
      <c r="F146" s="12">
        <v>79</v>
      </c>
      <c r="G146">
        <v>1</v>
      </c>
    </row>
    <row r="147" spans="6:7" x14ac:dyDescent="0.25">
      <c r="F147" s="11">
        <v>1953.1917149999999</v>
      </c>
      <c r="G147">
        <v>1</v>
      </c>
    </row>
    <row r="148" spans="6:7" x14ac:dyDescent="0.25">
      <c r="F148" s="12">
        <v>92</v>
      </c>
      <c r="G148">
        <v>1</v>
      </c>
    </row>
    <row r="149" spans="6:7" x14ac:dyDescent="0.25">
      <c r="F149" s="11">
        <v>2423.7624219999998</v>
      </c>
      <c r="G149">
        <v>1</v>
      </c>
    </row>
    <row r="150" spans="6:7" x14ac:dyDescent="0.25">
      <c r="F150" s="12">
        <v>19</v>
      </c>
      <c r="G150">
        <v>1</v>
      </c>
    </row>
    <row r="151" spans="6:7" x14ac:dyDescent="0.25">
      <c r="F151" s="11">
        <v>2506.4846470000002</v>
      </c>
      <c r="G151">
        <v>1</v>
      </c>
    </row>
    <row r="152" spans="6:7" x14ac:dyDescent="0.25">
      <c r="F152" s="12">
        <v>9</v>
      </c>
      <c r="G152">
        <v>1</v>
      </c>
    </row>
    <row r="153" spans="6:7" x14ac:dyDescent="0.25">
      <c r="F153" s="11">
        <v>2179.2286370000002</v>
      </c>
      <c r="G153">
        <v>1</v>
      </c>
    </row>
    <row r="154" spans="6:7" x14ac:dyDescent="0.25">
      <c r="F154" s="12">
        <v>53</v>
      </c>
      <c r="G154">
        <v>1</v>
      </c>
    </row>
    <row r="155" spans="6:7" x14ac:dyDescent="0.25">
      <c r="F155" s="11">
        <v>1826.8659299999999</v>
      </c>
      <c r="G155">
        <v>1</v>
      </c>
    </row>
    <row r="156" spans="6:7" x14ac:dyDescent="0.25">
      <c r="F156" s="12">
        <v>118</v>
      </c>
      <c r="G156">
        <v>1</v>
      </c>
    </row>
    <row r="157" spans="6:7" x14ac:dyDescent="0.25">
      <c r="F157" s="11">
        <v>2185.714434</v>
      </c>
      <c r="G157">
        <v>1</v>
      </c>
    </row>
    <row r="158" spans="6:7" x14ac:dyDescent="0.25">
      <c r="F158" s="12">
        <v>52</v>
      </c>
      <c r="G158">
        <v>1</v>
      </c>
    </row>
    <row r="159" spans="6:7" x14ac:dyDescent="0.25">
      <c r="F159" s="11">
        <v>2431.7881219999999</v>
      </c>
      <c r="G159">
        <v>1</v>
      </c>
    </row>
    <row r="160" spans="6:7" x14ac:dyDescent="0.25">
      <c r="F160" s="12">
        <v>18</v>
      </c>
      <c r="G160">
        <v>1</v>
      </c>
    </row>
    <row r="161" spans="6:7" x14ac:dyDescent="0.25">
      <c r="F161" s="11" t="s">
        <v>16</v>
      </c>
      <c r="G161">
        <v>121</v>
      </c>
    </row>
  </sheetData>
  <sortState xmlns:xlrd2="http://schemas.microsoft.com/office/spreadsheetml/2017/richdata2" ref="A2:D162">
    <sortCondition ref="B2:B16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BBED-B134-492D-8FB2-FE66743665A0}">
  <dimension ref="A1:G58"/>
  <sheetViews>
    <sheetView zoomScale="66" workbookViewId="0">
      <selection activeCell="A20" sqref="A20:D39"/>
    </sheetView>
  </sheetViews>
  <sheetFormatPr defaultRowHeight="15" x14ac:dyDescent="0.25"/>
  <cols>
    <col min="1" max="2" width="25.140625" customWidth="1"/>
    <col min="3" max="3" width="21.140625" customWidth="1"/>
    <col min="4" max="4" width="20.28515625" customWidth="1"/>
    <col min="5" max="5" width="13.42578125" bestFit="1" customWidth="1"/>
    <col min="6" max="6" width="15.42578125" bestFit="1" customWidth="1"/>
    <col min="7" max="7" width="20.28515625" bestFit="1" customWidth="1"/>
  </cols>
  <sheetData>
    <row r="1" spans="1:7" x14ac:dyDescent="0.25">
      <c r="A1" t="s">
        <v>2</v>
      </c>
      <c r="B1" t="s">
        <v>146</v>
      </c>
      <c r="C1" t="s">
        <v>0</v>
      </c>
      <c r="D1" t="s">
        <v>20</v>
      </c>
      <c r="F1" s="10" t="s">
        <v>15</v>
      </c>
      <c r="G1" t="s">
        <v>18</v>
      </c>
    </row>
    <row r="2" spans="1:7" x14ac:dyDescent="0.25">
      <c r="A2" t="s">
        <v>3</v>
      </c>
      <c r="B2" cm="1">
        <f t="array" ref="B2">_xlfn.IFS(ISNUMBER(FIND("R13C",A2)),3,ISNUMBER(FIND("R22C",A2)),2)</f>
        <v>3</v>
      </c>
      <c r="C2">
        <f>VLOOKUP(D2,ColRef!$A$2:$B$258,2,FALSE)</f>
        <v>1672.8932279999999</v>
      </c>
      <c r="D2">
        <v>155</v>
      </c>
      <c r="F2" s="11">
        <v>2361.4148660000001</v>
      </c>
      <c r="G2">
        <v>3</v>
      </c>
    </row>
    <row r="3" spans="1:7" x14ac:dyDescent="0.25">
      <c r="A3" t="s">
        <v>3</v>
      </c>
      <c r="B3" cm="1">
        <f t="array" ref="B3">_xlfn.IFS(ISNUMBER(FIND("R13C",A3)),3,ISNUMBER(FIND("R22C",A3)),2)</f>
        <v>3</v>
      </c>
      <c r="C3">
        <f>VLOOKUP(D3,ColRef!$A$2:$B$258,2,FALSE)</f>
        <v>1669.091199</v>
      </c>
      <c r="D3">
        <v>156</v>
      </c>
      <c r="F3" s="12">
        <v>27</v>
      </c>
      <c r="G3">
        <v>3</v>
      </c>
    </row>
    <row r="4" spans="1:7" x14ac:dyDescent="0.25">
      <c r="A4" t="s">
        <v>3</v>
      </c>
      <c r="B4" cm="1">
        <f t="array" ref="B4">_xlfn.IFS(ISNUMBER(FIND("R13C",A4)),3,ISNUMBER(FIND("R22C",A4)),2)</f>
        <v>3</v>
      </c>
      <c r="C4">
        <f>VLOOKUP(D4,ColRef!$A$2:$B$258,2,FALSE)</f>
        <v>1549.3673960000001</v>
      </c>
      <c r="D4">
        <v>190</v>
      </c>
      <c r="F4" s="11">
        <v>2141.1080360000001</v>
      </c>
      <c r="G4">
        <v>2</v>
      </c>
    </row>
    <row r="5" spans="1:7" x14ac:dyDescent="0.25">
      <c r="A5" t="s">
        <v>9</v>
      </c>
      <c r="B5" cm="1">
        <f t="array" ref="B5">_xlfn.IFS(ISNUMBER(FIND("R13C",A5)),3,ISNUMBER(FIND("R22C",A5)),2)</f>
        <v>3</v>
      </c>
      <c r="C5">
        <f>VLOOKUP(D5,ColRef!$A$2:$B$258,2,FALSE)</f>
        <v>2134.8838879999998</v>
      </c>
      <c r="D5">
        <v>60</v>
      </c>
      <c r="F5" s="12">
        <v>59</v>
      </c>
      <c r="G5">
        <v>2</v>
      </c>
    </row>
    <row r="6" spans="1:7" x14ac:dyDescent="0.25">
      <c r="A6" t="s">
        <v>9</v>
      </c>
      <c r="B6" cm="1">
        <f t="array" ref="B6">_xlfn.IFS(ISNUMBER(FIND("R13C",A6)),3,ISNUMBER(FIND("R22C",A6)),2)</f>
        <v>3</v>
      </c>
      <c r="C6">
        <f>VLOOKUP(D6,ColRef!$A$2:$B$258,2,FALSE)</f>
        <v>2141.1080360000001</v>
      </c>
      <c r="D6">
        <v>59</v>
      </c>
      <c r="F6" s="11">
        <v>2172.7812180000001</v>
      </c>
      <c r="G6">
        <v>2</v>
      </c>
    </row>
    <row r="7" spans="1:7" x14ac:dyDescent="0.25">
      <c r="A7" t="s">
        <v>9</v>
      </c>
      <c r="B7" cm="1">
        <f t="array" ref="B7">_xlfn.IFS(ISNUMBER(FIND("R13C",A7)),3,ISNUMBER(FIND("R22C",A7)),2)</f>
        <v>3</v>
      </c>
      <c r="C7">
        <f>VLOOKUP(D7,ColRef!$A$2:$B$258,2,FALSE)</f>
        <v>2384.415649</v>
      </c>
      <c r="D7">
        <v>24</v>
      </c>
      <c r="F7" s="12">
        <v>54</v>
      </c>
      <c r="G7">
        <v>2</v>
      </c>
    </row>
    <row r="8" spans="1:7" x14ac:dyDescent="0.25">
      <c r="A8" t="s">
        <v>9</v>
      </c>
      <c r="B8" cm="1">
        <f t="array" ref="B8">_xlfn.IFS(ISNUMBER(FIND("R13C",A8)),3,ISNUMBER(FIND("R22C",A8)),2)</f>
        <v>3</v>
      </c>
      <c r="C8">
        <f>VLOOKUP(D8,ColRef!$A$2:$B$258,2,FALSE)</f>
        <v>2034.3492309999999</v>
      </c>
      <c r="D8">
        <v>77</v>
      </c>
      <c r="F8" s="11">
        <v>2160.0001579999998</v>
      </c>
      <c r="G8">
        <v>2</v>
      </c>
    </row>
    <row r="9" spans="1:7" x14ac:dyDescent="0.25">
      <c r="A9" t="s">
        <v>9</v>
      </c>
      <c r="B9" cm="1">
        <f t="array" ref="B9">_xlfn.IFS(ISNUMBER(FIND("R13C",A9)),3,ISNUMBER(FIND("R22C",A9)),2)</f>
        <v>3</v>
      </c>
      <c r="C9">
        <f>VLOOKUP(D9,ColRef!$A$2:$B$258,2,FALSE)</f>
        <v>2369.03233</v>
      </c>
      <c r="D9">
        <v>26</v>
      </c>
      <c r="F9" s="12">
        <v>56</v>
      </c>
      <c r="G9">
        <v>2</v>
      </c>
    </row>
    <row r="10" spans="1:7" x14ac:dyDescent="0.25">
      <c r="A10" t="s">
        <v>9</v>
      </c>
      <c r="B10" cm="1">
        <f t="array" ref="B10">_xlfn.IFS(ISNUMBER(FIND("R13C",A10)),3,ISNUMBER(FIND("R22C",A10)),2)</f>
        <v>3</v>
      </c>
      <c r="C10">
        <f>VLOOKUP(D10,ColRef!$A$2:$B$258,2,FALSE)</f>
        <v>2361.4148660000001</v>
      </c>
      <c r="D10">
        <v>27</v>
      </c>
      <c r="F10" s="11">
        <v>2369.03233</v>
      </c>
      <c r="G10">
        <v>2</v>
      </c>
    </row>
    <row r="11" spans="1:7" x14ac:dyDescent="0.25">
      <c r="A11" t="s">
        <v>9</v>
      </c>
      <c r="B11" cm="1">
        <f t="array" ref="B11">_xlfn.IFS(ISNUMBER(FIND("R13C",A11)),3,ISNUMBER(FIND("R22C",A11)),2)</f>
        <v>3</v>
      </c>
      <c r="C11">
        <f>VLOOKUP(D11,ColRef!$A$2:$B$258,2,FALSE)</f>
        <v>2166.3718370000001</v>
      </c>
      <c r="D11">
        <v>55</v>
      </c>
      <c r="F11" s="12">
        <v>26</v>
      </c>
      <c r="G11">
        <v>2</v>
      </c>
    </row>
    <row r="12" spans="1:7" x14ac:dyDescent="0.25">
      <c r="A12" t="s">
        <v>9</v>
      </c>
      <c r="B12" cm="1">
        <f t="array" ref="B12">_xlfn.IFS(ISNUMBER(FIND("R13C",A12)),3,ISNUMBER(FIND("R22C",A12)),2)</f>
        <v>3</v>
      </c>
      <c r="C12">
        <f>VLOOKUP(D12,ColRef!$A$2:$B$258,2,FALSE)</f>
        <v>2045.6826490000001</v>
      </c>
      <c r="D12">
        <v>75</v>
      </c>
      <c r="F12" s="11">
        <v>2400.0000570000002</v>
      </c>
      <c r="G12">
        <v>2</v>
      </c>
    </row>
    <row r="13" spans="1:7" x14ac:dyDescent="0.25">
      <c r="A13" t="s">
        <v>11</v>
      </c>
      <c r="B13" cm="1">
        <f t="array" ref="B13">_xlfn.IFS(ISNUMBER(FIND("R13C",A13)),3,ISNUMBER(FIND("R22C",A13)),2)</f>
        <v>3</v>
      </c>
      <c r="C13">
        <f>VLOOKUP(D13,ColRef!$A$2:$B$258,2,FALSE)</f>
        <v>2361.4148660000001</v>
      </c>
      <c r="D13">
        <v>27</v>
      </c>
      <c r="F13" s="12">
        <v>22</v>
      </c>
      <c r="G13">
        <v>2</v>
      </c>
    </row>
    <row r="14" spans="1:7" x14ac:dyDescent="0.25">
      <c r="A14" t="s">
        <v>11</v>
      </c>
      <c r="B14" cm="1">
        <f t="array" ref="B14">_xlfn.IFS(ISNUMBER(FIND("R13C",A14)),3,ISNUMBER(FIND("R22C",A14)),2)</f>
        <v>3</v>
      </c>
      <c r="C14">
        <f>VLOOKUP(D14,ColRef!$A$2:$B$258,2,FALSE)</f>
        <v>2353.8462319999999</v>
      </c>
      <c r="D14">
        <v>28</v>
      </c>
      <c r="F14" s="11">
        <v>2353.8462319999999</v>
      </c>
      <c r="G14">
        <v>2</v>
      </c>
    </row>
    <row r="15" spans="1:7" x14ac:dyDescent="0.25">
      <c r="A15" t="s">
        <v>11</v>
      </c>
      <c r="B15" cm="1">
        <f t="array" ref="B15">_xlfn.IFS(ISNUMBER(FIND("R13C",A15)),3,ISNUMBER(FIND("R22C",A15)),2)</f>
        <v>3</v>
      </c>
      <c r="C15">
        <f>VLOOKUP(D15,ColRef!$A$2:$B$258,2,FALSE)</f>
        <v>2369.03233</v>
      </c>
      <c r="D15">
        <v>26</v>
      </c>
      <c r="F15" s="12">
        <v>28</v>
      </c>
      <c r="G15">
        <v>2</v>
      </c>
    </row>
    <row r="16" spans="1:7" x14ac:dyDescent="0.25">
      <c r="A16" t="s">
        <v>13</v>
      </c>
      <c r="B16" cm="1">
        <f t="array" ref="B16">_xlfn.IFS(ISNUMBER(FIND("R13C",A16)),3,ISNUMBER(FIND("R22C",A16)),2)</f>
        <v>3</v>
      </c>
      <c r="C16">
        <f>VLOOKUP(D16,ColRef!$A$2:$B$258,2,FALSE)</f>
        <v>2172.7812180000001</v>
      </c>
      <c r="D16">
        <v>54</v>
      </c>
      <c r="F16" s="11">
        <v>2134.8838879999998</v>
      </c>
      <c r="G16">
        <v>2</v>
      </c>
    </row>
    <row r="17" spans="1:7" x14ac:dyDescent="0.25">
      <c r="A17" t="s">
        <v>13</v>
      </c>
      <c r="B17" cm="1">
        <f t="array" ref="B17">_xlfn.IFS(ISNUMBER(FIND("R13C",A17)),3,ISNUMBER(FIND("R22C",A17)),2)</f>
        <v>3</v>
      </c>
      <c r="C17">
        <f>VLOOKUP(D17,ColRef!$A$2:$B$258,2,FALSE)</f>
        <v>1963.6365860000001</v>
      </c>
      <c r="D17">
        <v>90</v>
      </c>
      <c r="F17" s="12">
        <v>60</v>
      </c>
      <c r="G17">
        <v>2</v>
      </c>
    </row>
    <row r="18" spans="1:7" x14ac:dyDescent="0.25">
      <c r="A18" t="s">
        <v>13</v>
      </c>
      <c r="B18" cm="1">
        <f t="array" ref="B18">_xlfn.IFS(ISNUMBER(FIND("R13C",A18)),3,ISNUMBER(FIND("R22C",A18)),2)</f>
        <v>3</v>
      </c>
      <c r="C18">
        <f>VLOOKUP(D18,ColRef!$A$2:$B$258,2,FALSE)</f>
        <v>1624.7790580000001</v>
      </c>
      <c r="D18">
        <v>168</v>
      </c>
      <c r="F18" s="11">
        <v>2166.3718370000001</v>
      </c>
      <c r="G18">
        <v>2</v>
      </c>
    </row>
    <row r="19" spans="1:7" x14ac:dyDescent="0.25">
      <c r="A19" t="s">
        <v>13</v>
      </c>
      <c r="B19" cm="1">
        <f t="array" ref="B19">_xlfn.IFS(ISNUMBER(FIND("R13C",A19)),3,ISNUMBER(FIND("R22C",A19)),2)</f>
        <v>3</v>
      </c>
      <c r="C19">
        <f>VLOOKUP(D19,ColRef!$A$2:$B$258,2,FALSE)</f>
        <v>2122.5435240000002</v>
      </c>
      <c r="D19">
        <v>62</v>
      </c>
      <c r="F19" s="12">
        <v>55</v>
      </c>
      <c r="G19">
        <v>2</v>
      </c>
    </row>
    <row r="20" spans="1:7" x14ac:dyDescent="0.25">
      <c r="A20" t="s">
        <v>8</v>
      </c>
      <c r="B20" cm="1">
        <f t="array" ref="B20">_xlfn.IFS(ISNUMBER(FIND("R13C",A20)),3,ISNUMBER(FIND("R22C",A20)),2)</f>
        <v>2</v>
      </c>
      <c r="C20">
        <f>VLOOKUP(D20,ColRef!$A$2:$B$258,2,FALSE)</f>
        <v>2160.0001579999998</v>
      </c>
      <c r="D20">
        <v>56</v>
      </c>
      <c r="F20" s="11">
        <v>2001.09013</v>
      </c>
      <c r="G20">
        <v>1</v>
      </c>
    </row>
    <row r="21" spans="1:7" x14ac:dyDescent="0.25">
      <c r="A21" t="s">
        <v>8</v>
      </c>
      <c r="B21" cm="1">
        <f t="array" ref="B21">_xlfn.IFS(ISNUMBER(FIND("R13C",A21)),3,ISNUMBER(FIND("R22C",A21)),2)</f>
        <v>2</v>
      </c>
      <c r="C21">
        <f>VLOOKUP(D21,ColRef!$A$2:$B$258,2,FALSE)</f>
        <v>1511.1114219999999</v>
      </c>
      <c r="D21">
        <v>202</v>
      </c>
      <c r="F21" s="12">
        <v>83</v>
      </c>
      <c r="G21">
        <v>1</v>
      </c>
    </row>
    <row r="22" spans="1:7" x14ac:dyDescent="0.25">
      <c r="A22" t="s">
        <v>8</v>
      </c>
      <c r="B22" cm="1">
        <f t="array" ref="B22">_xlfn.IFS(ISNUMBER(FIND("R13C",A22)),3,ISNUMBER(FIND("R22C",A22)),2)</f>
        <v>2</v>
      </c>
      <c r="C22">
        <f>VLOOKUP(D22,ColRef!$A$2:$B$258,2,FALSE)</f>
        <v>2400.0000570000002</v>
      </c>
      <c r="D22">
        <v>22</v>
      </c>
      <c r="F22" s="11">
        <v>1420.5032200000001</v>
      </c>
      <c r="G22">
        <v>1</v>
      </c>
    </row>
    <row r="23" spans="1:7" x14ac:dyDescent="0.25">
      <c r="A23" t="s">
        <v>8</v>
      </c>
      <c r="B23" cm="1">
        <f t="array" ref="B23">_xlfn.IFS(ISNUMBER(FIND("R13C",A23)),3,ISNUMBER(FIND("R22C",A23)),2)</f>
        <v>2</v>
      </c>
      <c r="C23">
        <f>VLOOKUP(D23,ColRef!$A$2:$B$258,2,FALSE)</f>
        <v>1665.306413</v>
      </c>
      <c r="D23">
        <v>157</v>
      </c>
      <c r="F23" s="12">
        <v>233</v>
      </c>
      <c r="G23">
        <v>1</v>
      </c>
    </row>
    <row r="24" spans="1:7" x14ac:dyDescent="0.25">
      <c r="A24" t="s">
        <v>8</v>
      </c>
      <c r="B24" cm="1">
        <f t="array" ref="B24">_xlfn.IFS(ISNUMBER(FIND("R13C",A24)),3,ISNUMBER(FIND("R22C",A24)),2)</f>
        <v>2</v>
      </c>
      <c r="C24">
        <f>VLOOKUP(D24,ColRef!$A$2:$B$258,2,FALSE)</f>
        <v>1661.538753</v>
      </c>
      <c r="D24">
        <v>158</v>
      </c>
      <c r="F24" s="11">
        <v>2384.415649</v>
      </c>
      <c r="G24">
        <v>1</v>
      </c>
    </row>
    <row r="25" spans="1:7" x14ac:dyDescent="0.25">
      <c r="A25" t="s">
        <v>8</v>
      </c>
      <c r="B25" cm="1">
        <f t="array" ref="B25">_xlfn.IFS(ISNUMBER(FIND("R13C",A25)),3,ISNUMBER(FIND("R22C",A25)),2)</f>
        <v>2</v>
      </c>
      <c r="C25">
        <f>VLOOKUP(D25,ColRef!$A$2:$B$258,2,FALSE)</f>
        <v>1990.244117</v>
      </c>
      <c r="D25">
        <v>85</v>
      </c>
      <c r="F25" s="12">
        <v>24</v>
      </c>
      <c r="G25">
        <v>1</v>
      </c>
    </row>
    <row r="26" spans="1:7" x14ac:dyDescent="0.25">
      <c r="A26" t="s">
        <v>8</v>
      </c>
      <c r="B26" cm="1">
        <f t="array" ref="B26">_xlfn.IFS(ISNUMBER(FIND("R13C",A26)),3,ISNUMBER(FIND("R22C",A26)),2)</f>
        <v>2</v>
      </c>
      <c r="C26">
        <f>VLOOKUP(D26,ColRef!$A$2:$B$258,2,FALSE)</f>
        <v>1471.743802</v>
      </c>
      <c r="D26">
        <v>215</v>
      </c>
      <c r="F26" s="11">
        <v>2034.3492309999999</v>
      </c>
      <c r="G26">
        <v>1</v>
      </c>
    </row>
    <row r="27" spans="1:7" x14ac:dyDescent="0.25">
      <c r="A27" t="s">
        <v>10</v>
      </c>
      <c r="B27" cm="1">
        <f t="array" ref="B27">_xlfn.IFS(ISNUMBER(FIND("R13C",A27)),3,ISNUMBER(FIND("R22C",A27)),2)</f>
        <v>2</v>
      </c>
      <c r="C27">
        <f>VLOOKUP(D27,ColRef!$A$2:$B$258,2,FALSE)</f>
        <v>2134.8838879999998</v>
      </c>
      <c r="D27">
        <v>60</v>
      </c>
      <c r="F27" s="12">
        <v>77</v>
      </c>
      <c r="G27">
        <v>1</v>
      </c>
    </row>
    <row r="28" spans="1:7" x14ac:dyDescent="0.25">
      <c r="A28" t="s">
        <v>10</v>
      </c>
      <c r="B28" cm="1">
        <f t="array" ref="B28">_xlfn.IFS(ISNUMBER(FIND("R13C",A28)),3,ISNUMBER(FIND("R22C",A28)),2)</f>
        <v>2</v>
      </c>
      <c r="C28">
        <f>VLOOKUP(D28,ColRef!$A$2:$B$258,2,FALSE)</f>
        <v>2153.665849</v>
      </c>
      <c r="D28">
        <v>57</v>
      </c>
      <c r="F28" s="11">
        <v>1665.306413</v>
      </c>
      <c r="G28">
        <v>1</v>
      </c>
    </row>
    <row r="29" spans="1:7" x14ac:dyDescent="0.25">
      <c r="A29" t="s">
        <v>10</v>
      </c>
      <c r="B29" cm="1">
        <f t="array" ref="B29">_xlfn.IFS(ISNUMBER(FIND("R13C",A29)),3,ISNUMBER(FIND("R22C",A29)),2)</f>
        <v>2</v>
      </c>
      <c r="C29">
        <f>VLOOKUP(D29,ColRef!$A$2:$B$258,2,FALSE)</f>
        <v>2141.1080360000001</v>
      </c>
      <c r="D29">
        <v>59</v>
      </c>
      <c r="F29" s="12">
        <v>157</v>
      </c>
      <c r="G29">
        <v>1</v>
      </c>
    </row>
    <row r="30" spans="1:7" x14ac:dyDescent="0.25">
      <c r="A30" t="s">
        <v>10</v>
      </c>
      <c r="B30" cm="1">
        <f t="array" ref="B30">_xlfn.IFS(ISNUMBER(FIND("R13C",A30)),3,ISNUMBER(FIND("R22C",A30)),2)</f>
        <v>2</v>
      </c>
      <c r="C30">
        <f>VLOOKUP(D30,ColRef!$A$2:$B$258,2,FALSE)</f>
        <v>2160.0001579999998</v>
      </c>
      <c r="D30">
        <v>56</v>
      </c>
      <c r="F30" s="11">
        <v>1990.244117</v>
      </c>
      <c r="G30">
        <v>1</v>
      </c>
    </row>
    <row r="31" spans="1:7" x14ac:dyDescent="0.25">
      <c r="A31" t="s">
        <v>10</v>
      </c>
      <c r="B31" cm="1">
        <f t="array" ref="B31">_xlfn.IFS(ISNUMBER(FIND("R13C",A31)),3,ISNUMBER(FIND("R22C",A31)),2)</f>
        <v>2</v>
      </c>
      <c r="C31">
        <f>VLOOKUP(D31,ColRef!$A$2:$B$258,2,FALSE)</f>
        <v>2166.3718370000001</v>
      </c>
      <c r="D31">
        <v>55</v>
      </c>
      <c r="F31" s="12">
        <v>85</v>
      </c>
      <c r="G31">
        <v>1</v>
      </c>
    </row>
    <row r="32" spans="1:7" x14ac:dyDescent="0.25">
      <c r="A32" t="s">
        <v>10</v>
      </c>
      <c r="B32" cm="1">
        <f t="array" ref="B32">_xlfn.IFS(ISNUMBER(FIND("R13C",A32)),3,ISNUMBER(FIND("R22C",A32)),2)</f>
        <v>2</v>
      </c>
      <c r="C32">
        <f>VLOOKUP(D32,ColRef!$A$2:$B$258,2,FALSE)</f>
        <v>2400.0000570000002</v>
      </c>
      <c r="D32">
        <v>22</v>
      </c>
      <c r="F32" s="11">
        <v>1624.7790580000001</v>
      </c>
      <c r="G32">
        <v>1</v>
      </c>
    </row>
    <row r="33" spans="1:7" x14ac:dyDescent="0.25">
      <c r="A33" t="s">
        <v>10</v>
      </c>
      <c r="B33" cm="1">
        <f t="array" ref="B33">_xlfn.IFS(ISNUMBER(FIND("R13C",A33)),3,ISNUMBER(FIND("R22C",A33)),2)</f>
        <v>2</v>
      </c>
      <c r="C33">
        <f>VLOOKUP(D33,ColRef!$A$2:$B$258,2,FALSE)</f>
        <v>1420.5032200000001</v>
      </c>
      <c r="D33">
        <v>233</v>
      </c>
      <c r="F33" s="12">
        <v>168</v>
      </c>
      <c r="G33">
        <v>1</v>
      </c>
    </row>
    <row r="34" spans="1:7" x14ac:dyDescent="0.25">
      <c r="A34" t="s">
        <v>10</v>
      </c>
      <c r="B34" cm="1">
        <f t="array" ref="B34">_xlfn.IFS(ISNUMBER(FIND("R13C",A34)),3,ISNUMBER(FIND("R22C",A34)),2)</f>
        <v>2</v>
      </c>
      <c r="C34">
        <f>VLOOKUP(D34,ColRef!$A$2:$B$258,2,FALSE)</f>
        <v>1462.948523</v>
      </c>
      <c r="D34">
        <v>218</v>
      </c>
      <c r="F34" s="11">
        <v>1471.743802</v>
      </c>
      <c r="G34">
        <v>1</v>
      </c>
    </row>
    <row r="35" spans="1:7" x14ac:dyDescent="0.25">
      <c r="A35" t="s">
        <v>12</v>
      </c>
      <c r="B35" cm="1">
        <f t="array" ref="B35">_xlfn.IFS(ISNUMBER(FIND("R13C",A35)),3,ISNUMBER(FIND("R22C",A35)),2)</f>
        <v>2</v>
      </c>
      <c r="C35">
        <f>VLOOKUP(D35,ColRef!$A$2:$B$258,2,FALSE)</f>
        <v>2353.8462319999999</v>
      </c>
      <c r="D35">
        <v>28</v>
      </c>
      <c r="F35" s="12">
        <v>215</v>
      </c>
      <c r="G35">
        <v>1</v>
      </c>
    </row>
    <row r="36" spans="1:7" x14ac:dyDescent="0.25">
      <c r="A36" t="s">
        <v>12</v>
      </c>
      <c r="B36" cm="1">
        <f t="array" ref="B36">_xlfn.IFS(ISNUMBER(FIND("R13C",A36)),3,ISNUMBER(FIND("R22C",A36)),2)</f>
        <v>2</v>
      </c>
      <c r="C36">
        <f>VLOOKUP(D36,ColRef!$A$2:$B$258,2,FALSE)</f>
        <v>2361.4148660000001</v>
      </c>
      <c r="D36">
        <v>27</v>
      </c>
      <c r="F36" s="11">
        <v>1511.1114219999999</v>
      </c>
      <c r="G36">
        <v>1</v>
      </c>
    </row>
    <row r="37" spans="1:7" x14ac:dyDescent="0.25">
      <c r="A37" t="s">
        <v>12</v>
      </c>
      <c r="B37" cm="1">
        <f t="array" ref="B37">_xlfn.IFS(ISNUMBER(FIND("R13C",A37)),3,ISNUMBER(FIND("R22C",A37)),2)</f>
        <v>2</v>
      </c>
      <c r="C37">
        <f>VLOOKUP(D37,ColRef!$A$2:$B$258,2,FALSE)</f>
        <v>1696.074188</v>
      </c>
      <c r="D37">
        <v>149</v>
      </c>
      <c r="F37" s="12">
        <v>202</v>
      </c>
      <c r="G37">
        <v>1</v>
      </c>
    </row>
    <row r="38" spans="1:7" x14ac:dyDescent="0.25">
      <c r="A38" t="s">
        <v>12</v>
      </c>
      <c r="B38" cm="1">
        <f t="array" ref="B38">_xlfn.IFS(ISNUMBER(FIND("R13C",A38)),3,ISNUMBER(FIND("R22C",A38)),2)</f>
        <v>2</v>
      </c>
      <c r="C38">
        <f>VLOOKUP(D38,ColRef!$A$2:$B$258,2,FALSE)</f>
        <v>2001.09013</v>
      </c>
      <c r="D38">
        <v>83</v>
      </c>
      <c r="F38" s="11">
        <v>1661.538753</v>
      </c>
      <c r="G38">
        <v>1</v>
      </c>
    </row>
    <row r="39" spans="1:7" x14ac:dyDescent="0.25">
      <c r="A39" t="s">
        <v>14</v>
      </c>
      <c r="B39" cm="1">
        <f t="array" ref="B39">_xlfn.IFS(ISNUMBER(FIND("R13C",A39)),3,ISNUMBER(FIND("R22C",A39)),2)</f>
        <v>2</v>
      </c>
      <c r="C39">
        <f>VLOOKUP(D39,ColRef!$A$2:$B$258,2,FALSE)</f>
        <v>2172.7812180000001</v>
      </c>
      <c r="D39">
        <v>54</v>
      </c>
      <c r="F39" s="12">
        <v>158</v>
      </c>
      <c r="G39">
        <v>1</v>
      </c>
    </row>
    <row r="40" spans="1:7" x14ac:dyDescent="0.25">
      <c r="F40" s="11">
        <v>1462.948523</v>
      </c>
      <c r="G40">
        <v>1</v>
      </c>
    </row>
    <row r="41" spans="1:7" x14ac:dyDescent="0.25">
      <c r="F41" s="12">
        <v>218</v>
      </c>
      <c r="G41">
        <v>1</v>
      </c>
    </row>
    <row r="42" spans="1:7" x14ac:dyDescent="0.25">
      <c r="F42" s="11">
        <v>2045.6826490000001</v>
      </c>
      <c r="G42">
        <v>1</v>
      </c>
    </row>
    <row r="43" spans="1:7" x14ac:dyDescent="0.25">
      <c r="F43" s="12">
        <v>75</v>
      </c>
      <c r="G43">
        <v>1</v>
      </c>
    </row>
    <row r="44" spans="1:7" x14ac:dyDescent="0.25">
      <c r="F44" s="11">
        <v>1696.074188</v>
      </c>
      <c r="G44">
        <v>1</v>
      </c>
    </row>
    <row r="45" spans="1:7" x14ac:dyDescent="0.25">
      <c r="F45" s="12">
        <v>149</v>
      </c>
      <c r="G45">
        <v>1</v>
      </c>
    </row>
    <row r="46" spans="1:7" x14ac:dyDescent="0.25">
      <c r="F46" s="11">
        <v>1672.8932279999999</v>
      </c>
      <c r="G46">
        <v>1</v>
      </c>
    </row>
    <row r="47" spans="1:7" x14ac:dyDescent="0.25">
      <c r="F47" s="12">
        <v>155</v>
      </c>
      <c r="G47">
        <v>1</v>
      </c>
    </row>
    <row r="48" spans="1:7" x14ac:dyDescent="0.25">
      <c r="F48" s="11">
        <v>1963.6365860000001</v>
      </c>
      <c r="G48">
        <v>1</v>
      </c>
    </row>
    <row r="49" spans="6:7" x14ac:dyDescent="0.25">
      <c r="F49" s="12">
        <v>90</v>
      </c>
      <c r="G49">
        <v>1</v>
      </c>
    </row>
    <row r="50" spans="6:7" x14ac:dyDescent="0.25">
      <c r="F50" s="11">
        <v>1669.091199</v>
      </c>
      <c r="G50">
        <v>1</v>
      </c>
    </row>
    <row r="51" spans="6:7" x14ac:dyDescent="0.25">
      <c r="F51" s="12">
        <v>156</v>
      </c>
      <c r="G51">
        <v>1</v>
      </c>
    </row>
    <row r="52" spans="6:7" x14ac:dyDescent="0.25">
      <c r="F52" s="11">
        <v>2122.5435240000002</v>
      </c>
      <c r="G52">
        <v>1</v>
      </c>
    </row>
    <row r="53" spans="6:7" x14ac:dyDescent="0.25">
      <c r="F53" s="12">
        <v>62</v>
      </c>
      <c r="G53">
        <v>1</v>
      </c>
    </row>
    <row r="54" spans="6:7" x14ac:dyDescent="0.25">
      <c r="F54" s="11">
        <v>1549.3673960000001</v>
      </c>
      <c r="G54">
        <v>1</v>
      </c>
    </row>
    <row r="55" spans="6:7" x14ac:dyDescent="0.25">
      <c r="F55" s="12">
        <v>190</v>
      </c>
      <c r="G55">
        <v>1</v>
      </c>
    </row>
    <row r="56" spans="6:7" x14ac:dyDescent="0.25">
      <c r="F56" s="11">
        <v>2153.665849</v>
      </c>
      <c r="G56">
        <v>1</v>
      </c>
    </row>
    <row r="57" spans="6:7" x14ac:dyDescent="0.25">
      <c r="F57" s="12">
        <v>57</v>
      </c>
      <c r="G57">
        <v>1</v>
      </c>
    </row>
    <row r="58" spans="6:7" x14ac:dyDescent="0.25">
      <c r="F58" s="11" t="s">
        <v>16</v>
      </c>
      <c r="G58">
        <v>38</v>
      </c>
    </row>
  </sheetData>
  <sortState xmlns:xlrd2="http://schemas.microsoft.com/office/spreadsheetml/2017/richdata2" ref="A2:D58">
    <sortCondition descending="1" ref="B1:B5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016A-BB4C-4CDB-8D17-588BEA7133E2}">
  <dimension ref="A1:G102"/>
  <sheetViews>
    <sheetView workbookViewId="0">
      <selection activeCell="A2" sqref="A2"/>
    </sheetView>
  </sheetViews>
  <sheetFormatPr defaultRowHeight="15" x14ac:dyDescent="0.25"/>
  <cols>
    <col min="1" max="1" width="36.5703125" customWidth="1"/>
    <col min="2" max="2" width="18.28515625" customWidth="1"/>
    <col min="3" max="3" width="20.7109375" customWidth="1"/>
    <col min="4" max="4" width="24.42578125" customWidth="1"/>
    <col min="5" max="5" width="20" customWidth="1"/>
  </cols>
  <sheetData>
    <row r="1" spans="1:7" x14ac:dyDescent="0.25">
      <c r="A1" s="13" t="s">
        <v>145</v>
      </c>
    </row>
    <row r="2" spans="1:7" x14ac:dyDescent="0.25">
      <c r="A2" t="s">
        <v>144</v>
      </c>
      <c r="B2" s="13"/>
      <c r="C2" s="13"/>
      <c r="D2" s="13"/>
      <c r="E2" s="13"/>
      <c r="F2" s="13"/>
      <c r="G2" s="13"/>
    </row>
    <row r="3" spans="1:7" x14ac:dyDescent="0.25">
      <c r="A3" t="s">
        <v>44</v>
      </c>
    </row>
    <row r="4" spans="1:7" x14ac:dyDescent="0.25">
      <c r="A4" t="s">
        <v>45</v>
      </c>
    </row>
    <row r="5" spans="1:7" x14ac:dyDescent="0.25">
      <c r="A5" t="s">
        <v>46</v>
      </c>
    </row>
    <row r="6" spans="1:7" x14ac:dyDescent="0.25">
      <c r="A6" t="s">
        <v>47</v>
      </c>
    </row>
    <row r="7" spans="1:7" x14ac:dyDescent="0.25">
      <c r="A7" t="s">
        <v>48</v>
      </c>
    </row>
    <row r="8" spans="1:7" x14ac:dyDescent="0.25">
      <c r="A8" t="s">
        <v>49</v>
      </c>
    </row>
    <row r="9" spans="1:7" x14ac:dyDescent="0.25">
      <c r="A9" t="s">
        <v>50</v>
      </c>
    </row>
    <row r="10" spans="1:7" x14ac:dyDescent="0.25">
      <c r="A10" t="s">
        <v>51</v>
      </c>
    </row>
    <row r="11" spans="1:7" x14ac:dyDescent="0.25">
      <c r="A11" t="s">
        <v>52</v>
      </c>
    </row>
    <row r="12" spans="1:7" x14ac:dyDescent="0.25">
      <c r="A12" t="s">
        <v>53</v>
      </c>
    </row>
    <row r="13" spans="1:7" x14ac:dyDescent="0.25">
      <c r="A13" t="s">
        <v>54</v>
      </c>
    </row>
    <row r="14" spans="1:7" x14ac:dyDescent="0.25">
      <c r="A14" t="s">
        <v>55</v>
      </c>
    </row>
    <row r="15" spans="1:7" x14ac:dyDescent="0.25">
      <c r="A15" t="s">
        <v>56</v>
      </c>
    </row>
    <row r="16" spans="1:7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71</v>
      </c>
    </row>
    <row r="31" spans="1:1" x14ac:dyDescent="0.25">
      <c r="A31" t="s">
        <v>72</v>
      </c>
    </row>
    <row r="32" spans="1:1" x14ac:dyDescent="0.25">
      <c r="A32" t="s">
        <v>73</v>
      </c>
    </row>
    <row r="33" spans="1:1" x14ac:dyDescent="0.25">
      <c r="A33" t="s">
        <v>74</v>
      </c>
    </row>
    <row r="34" spans="1:1" x14ac:dyDescent="0.25">
      <c r="A34" t="s">
        <v>75</v>
      </c>
    </row>
    <row r="35" spans="1:1" x14ac:dyDescent="0.25">
      <c r="A35" t="s">
        <v>76</v>
      </c>
    </row>
    <row r="36" spans="1:1" x14ac:dyDescent="0.25">
      <c r="A36" t="s">
        <v>77</v>
      </c>
    </row>
    <row r="37" spans="1:1" x14ac:dyDescent="0.25">
      <c r="A37" t="s">
        <v>78</v>
      </c>
    </row>
    <row r="38" spans="1:1" x14ac:dyDescent="0.25">
      <c r="A38" t="s">
        <v>79</v>
      </c>
    </row>
    <row r="39" spans="1:1" x14ac:dyDescent="0.25">
      <c r="A39" t="s">
        <v>80</v>
      </c>
    </row>
    <row r="40" spans="1:1" x14ac:dyDescent="0.25">
      <c r="A40" t="s">
        <v>81</v>
      </c>
    </row>
    <row r="41" spans="1:1" x14ac:dyDescent="0.25">
      <c r="A41" t="s">
        <v>82</v>
      </c>
    </row>
    <row r="42" spans="1:1" x14ac:dyDescent="0.25">
      <c r="A42" t="s">
        <v>83</v>
      </c>
    </row>
    <row r="43" spans="1:1" x14ac:dyDescent="0.25">
      <c r="A43" t="s">
        <v>84</v>
      </c>
    </row>
    <row r="44" spans="1:1" x14ac:dyDescent="0.25">
      <c r="A44" t="s">
        <v>85</v>
      </c>
    </row>
    <row r="45" spans="1:1" x14ac:dyDescent="0.25">
      <c r="A45" t="s">
        <v>86</v>
      </c>
    </row>
    <row r="46" spans="1:1" x14ac:dyDescent="0.25">
      <c r="A46" t="s">
        <v>87</v>
      </c>
    </row>
    <row r="47" spans="1:1" x14ac:dyDescent="0.25">
      <c r="A47" t="s">
        <v>88</v>
      </c>
    </row>
    <row r="48" spans="1:1" x14ac:dyDescent="0.25">
      <c r="A48" t="s">
        <v>89</v>
      </c>
    </row>
    <row r="49" spans="1:1" x14ac:dyDescent="0.25">
      <c r="A49" t="s">
        <v>90</v>
      </c>
    </row>
    <row r="50" spans="1:1" x14ac:dyDescent="0.25">
      <c r="A50" t="s">
        <v>91</v>
      </c>
    </row>
    <row r="51" spans="1:1" x14ac:dyDescent="0.25">
      <c r="A51" t="s">
        <v>92</v>
      </c>
    </row>
    <row r="52" spans="1:1" x14ac:dyDescent="0.25">
      <c r="A52" t="s">
        <v>93</v>
      </c>
    </row>
    <row r="53" spans="1:1" x14ac:dyDescent="0.25">
      <c r="A53" t="s">
        <v>94</v>
      </c>
    </row>
    <row r="54" spans="1:1" x14ac:dyDescent="0.25">
      <c r="A54" t="s">
        <v>95</v>
      </c>
    </row>
    <row r="55" spans="1:1" x14ac:dyDescent="0.25">
      <c r="A55" t="s">
        <v>96</v>
      </c>
    </row>
    <row r="56" spans="1:1" x14ac:dyDescent="0.25">
      <c r="A56" t="s">
        <v>97</v>
      </c>
    </row>
    <row r="57" spans="1:1" x14ac:dyDescent="0.25">
      <c r="A57" t="s">
        <v>98</v>
      </c>
    </row>
    <row r="58" spans="1:1" x14ac:dyDescent="0.25">
      <c r="A58" t="s">
        <v>99</v>
      </c>
    </row>
    <row r="59" spans="1:1" x14ac:dyDescent="0.25">
      <c r="A59" t="s">
        <v>100</v>
      </c>
    </row>
    <row r="60" spans="1:1" x14ac:dyDescent="0.25">
      <c r="A60" t="s">
        <v>101</v>
      </c>
    </row>
    <row r="61" spans="1:1" x14ac:dyDescent="0.25">
      <c r="A61" t="s">
        <v>102</v>
      </c>
    </row>
    <row r="62" spans="1:1" x14ac:dyDescent="0.25">
      <c r="A62" t="s">
        <v>103</v>
      </c>
    </row>
    <row r="63" spans="1:1" x14ac:dyDescent="0.25">
      <c r="A63" t="s">
        <v>104</v>
      </c>
    </row>
    <row r="64" spans="1:1" x14ac:dyDescent="0.25">
      <c r="A64" t="s">
        <v>105</v>
      </c>
    </row>
    <row r="65" spans="1:1" x14ac:dyDescent="0.25">
      <c r="A65" t="s">
        <v>106</v>
      </c>
    </row>
    <row r="66" spans="1:1" x14ac:dyDescent="0.25">
      <c r="A66" t="s">
        <v>107</v>
      </c>
    </row>
    <row r="67" spans="1:1" x14ac:dyDescent="0.25">
      <c r="A67" t="s">
        <v>108</v>
      </c>
    </row>
    <row r="68" spans="1:1" x14ac:dyDescent="0.25">
      <c r="A68" t="s">
        <v>109</v>
      </c>
    </row>
    <row r="69" spans="1:1" x14ac:dyDescent="0.25">
      <c r="A69" t="s">
        <v>110</v>
      </c>
    </row>
    <row r="70" spans="1:1" x14ac:dyDescent="0.25">
      <c r="A70" t="s">
        <v>111</v>
      </c>
    </row>
    <row r="71" spans="1:1" x14ac:dyDescent="0.25">
      <c r="A71" t="s">
        <v>112</v>
      </c>
    </row>
    <row r="72" spans="1:1" x14ac:dyDescent="0.25">
      <c r="A72" t="s">
        <v>113</v>
      </c>
    </row>
    <row r="73" spans="1:1" x14ac:dyDescent="0.25">
      <c r="A73" t="s">
        <v>114</v>
      </c>
    </row>
    <row r="74" spans="1:1" x14ac:dyDescent="0.25">
      <c r="A74" t="s">
        <v>115</v>
      </c>
    </row>
    <row r="75" spans="1:1" x14ac:dyDescent="0.25">
      <c r="A75" t="s">
        <v>116</v>
      </c>
    </row>
    <row r="76" spans="1:1" x14ac:dyDescent="0.25">
      <c r="A76" t="s">
        <v>117</v>
      </c>
    </row>
    <row r="77" spans="1:1" x14ac:dyDescent="0.25">
      <c r="A77" t="s">
        <v>118</v>
      </c>
    </row>
    <row r="78" spans="1:1" x14ac:dyDescent="0.25">
      <c r="A78" t="s">
        <v>119</v>
      </c>
    </row>
    <row r="79" spans="1:1" x14ac:dyDescent="0.25">
      <c r="A79" t="s">
        <v>120</v>
      </c>
    </row>
    <row r="80" spans="1:1" x14ac:dyDescent="0.25">
      <c r="A80" t="s">
        <v>121</v>
      </c>
    </row>
    <row r="81" spans="1:1" x14ac:dyDescent="0.25">
      <c r="A81" t="s">
        <v>122</v>
      </c>
    </row>
    <row r="82" spans="1:1" x14ac:dyDescent="0.25">
      <c r="A82" t="s">
        <v>123</v>
      </c>
    </row>
    <row r="83" spans="1:1" x14ac:dyDescent="0.25">
      <c r="A83" t="s">
        <v>124</v>
      </c>
    </row>
    <row r="84" spans="1:1" x14ac:dyDescent="0.25">
      <c r="A84" t="s">
        <v>125</v>
      </c>
    </row>
    <row r="85" spans="1:1" x14ac:dyDescent="0.25">
      <c r="A85" t="s">
        <v>126</v>
      </c>
    </row>
    <row r="86" spans="1:1" x14ac:dyDescent="0.25">
      <c r="A86" t="s">
        <v>127</v>
      </c>
    </row>
    <row r="87" spans="1:1" x14ac:dyDescent="0.25">
      <c r="A87" t="s">
        <v>128</v>
      </c>
    </row>
    <row r="88" spans="1:1" x14ac:dyDescent="0.25">
      <c r="A88" t="s">
        <v>129</v>
      </c>
    </row>
    <row r="89" spans="1:1" x14ac:dyDescent="0.25">
      <c r="A89" t="s">
        <v>130</v>
      </c>
    </row>
    <row r="90" spans="1:1" x14ac:dyDescent="0.25">
      <c r="A90" t="s">
        <v>131</v>
      </c>
    </row>
    <row r="91" spans="1:1" x14ac:dyDescent="0.25">
      <c r="A91" t="s">
        <v>132</v>
      </c>
    </row>
    <row r="92" spans="1:1" x14ac:dyDescent="0.25">
      <c r="A92" t="s">
        <v>133</v>
      </c>
    </row>
    <row r="93" spans="1:1" x14ac:dyDescent="0.25">
      <c r="A93" t="s">
        <v>134</v>
      </c>
    </row>
    <row r="94" spans="1:1" x14ac:dyDescent="0.25">
      <c r="A94" t="s">
        <v>135</v>
      </c>
    </row>
    <row r="95" spans="1:1" x14ac:dyDescent="0.25">
      <c r="A95" t="s">
        <v>136</v>
      </c>
    </row>
    <row r="96" spans="1:1" x14ac:dyDescent="0.25">
      <c r="A96" t="s">
        <v>137</v>
      </c>
    </row>
    <row r="97" spans="1:1" x14ac:dyDescent="0.25">
      <c r="A97" t="s">
        <v>138</v>
      </c>
    </row>
    <row r="98" spans="1:1" x14ac:dyDescent="0.25">
      <c r="A98" t="s">
        <v>139</v>
      </c>
    </row>
    <row r="99" spans="1:1" x14ac:dyDescent="0.25">
      <c r="A99" t="s">
        <v>140</v>
      </c>
    </row>
    <row r="100" spans="1:1" x14ac:dyDescent="0.25">
      <c r="A100" t="s">
        <v>141</v>
      </c>
    </row>
    <row r="101" spans="1:1" x14ac:dyDescent="0.25">
      <c r="A101" t="s">
        <v>142</v>
      </c>
    </row>
    <row r="102" spans="1:1" x14ac:dyDescent="0.25">
      <c r="A102" t="s">
        <v>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F2C8-6F97-45E5-A92E-5C6AAA5AD75C}">
  <dimension ref="A1:C321"/>
  <sheetViews>
    <sheetView workbookViewId="0">
      <selection sqref="A1:C321"/>
    </sheetView>
  </sheetViews>
  <sheetFormatPr defaultRowHeight="15" x14ac:dyDescent="0.25"/>
  <cols>
    <col min="1" max="1" width="15.85546875" customWidth="1"/>
    <col min="2" max="2" width="23.85546875" customWidth="1"/>
    <col min="3" max="3" width="17.85546875" customWidth="1"/>
  </cols>
  <sheetData>
    <row r="1" spans="1:3" x14ac:dyDescent="0.25">
      <c r="A1" s="13" t="s">
        <v>2</v>
      </c>
      <c r="B1" s="13" t="s">
        <v>7</v>
      </c>
      <c r="C1" s="13" t="s">
        <v>34</v>
      </c>
    </row>
    <row r="2" spans="1:3" x14ac:dyDescent="0.25">
      <c r="A2" t="s">
        <v>3</v>
      </c>
      <c r="B2">
        <v>2324.0507240000002</v>
      </c>
      <c r="C2" t="s">
        <v>37</v>
      </c>
    </row>
    <row r="3" spans="1:3" x14ac:dyDescent="0.25">
      <c r="A3" t="s">
        <v>3</v>
      </c>
      <c r="B3">
        <v>1665.306413</v>
      </c>
      <c r="C3" t="s">
        <v>37</v>
      </c>
    </row>
    <row r="4" spans="1:3" x14ac:dyDescent="0.25">
      <c r="A4" t="s">
        <v>3</v>
      </c>
      <c r="B4">
        <v>1360.0003220000001</v>
      </c>
      <c r="C4" t="s">
        <v>37</v>
      </c>
    </row>
    <row r="5" spans="1:3" x14ac:dyDescent="0.25">
      <c r="A5" t="s">
        <v>3</v>
      </c>
      <c r="B5">
        <v>1508.008525</v>
      </c>
      <c r="C5" t="s">
        <v>37</v>
      </c>
    </row>
    <row r="6" spans="1:3" x14ac:dyDescent="0.25">
      <c r="A6" t="s">
        <v>3</v>
      </c>
      <c r="B6">
        <v>1661.538753</v>
      </c>
      <c r="C6" t="s">
        <v>37</v>
      </c>
    </row>
    <row r="7" spans="1:3" x14ac:dyDescent="0.25">
      <c r="A7" t="s">
        <v>3</v>
      </c>
      <c r="B7">
        <v>2266.6667830000001</v>
      </c>
      <c r="C7" t="s">
        <v>37</v>
      </c>
    </row>
    <row r="8" spans="1:3" x14ac:dyDescent="0.25">
      <c r="A8" t="s">
        <v>3</v>
      </c>
      <c r="B8">
        <v>1610.526615</v>
      </c>
      <c r="C8" t="s">
        <v>37</v>
      </c>
    </row>
    <row r="9" spans="1:3" x14ac:dyDescent="0.25">
      <c r="A9" t="s">
        <v>3</v>
      </c>
      <c r="B9">
        <v>2302.1944579999999</v>
      </c>
      <c r="C9" t="s">
        <v>37</v>
      </c>
    </row>
    <row r="10" spans="1:3" x14ac:dyDescent="0.25">
      <c r="A10" t="s">
        <v>3</v>
      </c>
      <c r="B10">
        <v>2456.1873209999999</v>
      </c>
      <c r="C10" t="s">
        <v>37</v>
      </c>
    </row>
    <row r="11" spans="1:3" x14ac:dyDescent="0.25">
      <c r="A11" t="s">
        <v>3</v>
      </c>
      <c r="B11">
        <v>2068.7325839999999</v>
      </c>
      <c r="C11" t="s">
        <v>37</v>
      </c>
    </row>
    <row r="12" spans="1:3" x14ac:dyDescent="0.25">
      <c r="A12" t="s">
        <v>3</v>
      </c>
      <c r="B12">
        <v>2309.43406</v>
      </c>
      <c r="C12" t="s">
        <v>37</v>
      </c>
    </row>
    <row r="13" spans="1:3" x14ac:dyDescent="0.25">
      <c r="A13" t="s">
        <v>3</v>
      </c>
      <c r="B13">
        <v>1892.7837469999999</v>
      </c>
      <c r="C13" t="s">
        <v>37</v>
      </c>
    </row>
    <row r="14" spans="1:3" x14ac:dyDescent="0.25">
      <c r="A14" t="s">
        <v>3</v>
      </c>
      <c r="B14">
        <v>1442.8293940000001</v>
      </c>
      <c r="C14" t="s">
        <v>37</v>
      </c>
    </row>
    <row r="15" spans="1:3" x14ac:dyDescent="0.25">
      <c r="A15" t="s">
        <v>3</v>
      </c>
      <c r="B15">
        <v>1460.0400770000001</v>
      </c>
      <c r="C15" t="s">
        <v>37</v>
      </c>
    </row>
    <row r="16" spans="1:3" x14ac:dyDescent="0.25">
      <c r="A16" t="s">
        <v>3</v>
      </c>
      <c r="B16">
        <v>2497.9591930000001</v>
      </c>
      <c r="C16" t="s">
        <v>37</v>
      </c>
    </row>
    <row r="17" spans="1:3" x14ac:dyDescent="0.25">
      <c r="A17" t="s">
        <v>3</v>
      </c>
      <c r="B17">
        <v>2295.0001040000002</v>
      </c>
      <c r="C17" t="s">
        <v>37</v>
      </c>
    </row>
    <row r="18" spans="1:3" x14ac:dyDescent="0.25">
      <c r="A18" t="s">
        <v>3</v>
      </c>
      <c r="B18">
        <v>2472.7272950000001</v>
      </c>
      <c r="C18" t="s">
        <v>37</v>
      </c>
    </row>
    <row r="19" spans="1:3" x14ac:dyDescent="0.25">
      <c r="A19" t="s">
        <v>3</v>
      </c>
      <c r="B19">
        <v>2400.0000570000002</v>
      </c>
      <c r="C19" t="s">
        <v>37</v>
      </c>
    </row>
    <row r="20" spans="1:3" x14ac:dyDescent="0.25">
      <c r="A20" t="s">
        <v>3</v>
      </c>
      <c r="B20">
        <v>1822.3327650000001</v>
      </c>
      <c r="C20" t="s">
        <v>37</v>
      </c>
    </row>
    <row r="21" spans="1:3" x14ac:dyDescent="0.25">
      <c r="A21" t="s">
        <v>3</v>
      </c>
      <c r="B21">
        <v>2198.8025379999999</v>
      </c>
      <c r="C21" t="s">
        <v>37</v>
      </c>
    </row>
    <row r="22" spans="1:3" x14ac:dyDescent="0.25">
      <c r="A22" t="s">
        <v>8</v>
      </c>
      <c r="B22">
        <v>2153.665849</v>
      </c>
      <c r="C22" t="s">
        <v>37</v>
      </c>
    </row>
    <row r="23" spans="1:3" x14ac:dyDescent="0.25">
      <c r="A23" t="s">
        <v>8</v>
      </c>
      <c r="B23">
        <v>1511.1114219999999</v>
      </c>
      <c r="C23" t="s">
        <v>37</v>
      </c>
    </row>
    <row r="24" spans="1:3" x14ac:dyDescent="0.25">
      <c r="A24" t="s">
        <v>8</v>
      </c>
      <c r="B24">
        <v>2400.0000570000002</v>
      </c>
      <c r="C24" t="s">
        <v>37</v>
      </c>
    </row>
    <row r="25" spans="1:3" x14ac:dyDescent="0.25">
      <c r="A25" t="s">
        <v>8</v>
      </c>
      <c r="B25">
        <v>2160.0001579999998</v>
      </c>
      <c r="C25" t="s">
        <v>37</v>
      </c>
    </row>
    <row r="26" spans="1:3" x14ac:dyDescent="0.25">
      <c r="A26" t="s">
        <v>8</v>
      </c>
      <c r="B26">
        <v>2407.8689060000002</v>
      </c>
      <c r="C26" t="s">
        <v>37</v>
      </c>
    </row>
    <row r="27" spans="1:3" x14ac:dyDescent="0.25">
      <c r="A27" t="s">
        <v>8</v>
      </c>
      <c r="B27">
        <v>1471.743802</v>
      </c>
      <c r="C27" t="s">
        <v>37</v>
      </c>
    </row>
    <row r="28" spans="1:3" x14ac:dyDescent="0.25">
      <c r="A28" t="s">
        <v>8</v>
      </c>
      <c r="B28">
        <v>2456.1873209999999</v>
      </c>
      <c r="C28" t="s">
        <v>37</v>
      </c>
    </row>
    <row r="29" spans="1:3" x14ac:dyDescent="0.25">
      <c r="A29" t="s">
        <v>8</v>
      </c>
      <c r="B29">
        <v>1533.194463</v>
      </c>
      <c r="C29" t="s">
        <v>37</v>
      </c>
    </row>
    <row r="30" spans="1:3" x14ac:dyDescent="0.25">
      <c r="A30" t="s">
        <v>8</v>
      </c>
      <c r="B30">
        <v>2141.1080360000001</v>
      </c>
      <c r="C30" t="s">
        <v>37</v>
      </c>
    </row>
    <row r="31" spans="1:3" x14ac:dyDescent="0.25">
      <c r="A31" t="s">
        <v>8</v>
      </c>
      <c r="B31">
        <v>1669.091199</v>
      </c>
      <c r="C31" t="s">
        <v>37</v>
      </c>
    </row>
    <row r="32" spans="1:3" x14ac:dyDescent="0.25">
      <c r="A32" t="s">
        <v>8</v>
      </c>
      <c r="B32">
        <v>1495.7233269999999</v>
      </c>
      <c r="C32" t="s">
        <v>37</v>
      </c>
    </row>
    <row r="33" spans="1:3" x14ac:dyDescent="0.25">
      <c r="A33" t="s">
        <v>8</v>
      </c>
      <c r="B33">
        <v>2172.7812180000001</v>
      </c>
      <c r="C33" t="s">
        <v>37</v>
      </c>
    </row>
    <row r="34" spans="1:3" x14ac:dyDescent="0.25">
      <c r="A34" t="s">
        <v>8</v>
      </c>
      <c r="B34">
        <v>1661.538753</v>
      </c>
      <c r="C34" t="s">
        <v>37</v>
      </c>
    </row>
    <row r="35" spans="1:3" x14ac:dyDescent="0.25">
      <c r="A35" t="s">
        <v>8</v>
      </c>
      <c r="B35">
        <v>2017.5826239999999</v>
      </c>
      <c r="C35" t="s">
        <v>37</v>
      </c>
    </row>
    <row r="36" spans="1:3" x14ac:dyDescent="0.25">
      <c r="A36" t="s">
        <v>8</v>
      </c>
      <c r="B36">
        <v>2001.09013</v>
      </c>
      <c r="C36" t="s">
        <v>37</v>
      </c>
    </row>
    <row r="37" spans="1:3" x14ac:dyDescent="0.25">
      <c r="A37" t="s">
        <v>8</v>
      </c>
      <c r="B37">
        <v>1800.000264</v>
      </c>
      <c r="C37" t="s">
        <v>37</v>
      </c>
    </row>
    <row r="38" spans="1:3" x14ac:dyDescent="0.25">
      <c r="A38" t="s">
        <v>8</v>
      </c>
      <c r="B38">
        <v>1912.500237</v>
      </c>
      <c r="C38" t="s">
        <v>37</v>
      </c>
    </row>
    <row r="39" spans="1:3" x14ac:dyDescent="0.25">
      <c r="A39" t="s">
        <v>8</v>
      </c>
      <c r="B39">
        <v>1468.800315</v>
      </c>
      <c r="C39" t="s">
        <v>37</v>
      </c>
    </row>
    <row r="40" spans="1:3" x14ac:dyDescent="0.25">
      <c r="A40" t="s">
        <v>8</v>
      </c>
      <c r="B40">
        <v>2166.3718370000001</v>
      </c>
      <c r="C40" t="s">
        <v>37</v>
      </c>
    </row>
    <row r="41" spans="1:3" x14ac:dyDescent="0.25">
      <c r="A41" t="s">
        <v>8</v>
      </c>
      <c r="B41">
        <v>2295.0001040000002</v>
      </c>
      <c r="C41" t="s">
        <v>37</v>
      </c>
    </row>
    <row r="42" spans="1:3" x14ac:dyDescent="0.25">
      <c r="A42" t="s">
        <v>9</v>
      </c>
      <c r="B42">
        <v>2134.8838879999998</v>
      </c>
      <c r="C42" t="s">
        <v>37</v>
      </c>
    </row>
    <row r="43" spans="1:3" x14ac:dyDescent="0.25">
      <c r="A43" t="s">
        <v>9</v>
      </c>
      <c r="B43">
        <v>2128.6958209999998</v>
      </c>
      <c r="C43" t="s">
        <v>37</v>
      </c>
    </row>
    <row r="44" spans="1:3" x14ac:dyDescent="0.25">
      <c r="A44" t="s">
        <v>9</v>
      </c>
      <c r="B44">
        <v>2153.665849</v>
      </c>
      <c r="C44" t="s">
        <v>37</v>
      </c>
    </row>
    <row r="45" spans="1:3" x14ac:dyDescent="0.25">
      <c r="A45" t="s">
        <v>9</v>
      </c>
      <c r="B45">
        <v>2160.0001579999998</v>
      </c>
      <c r="C45" t="s">
        <v>37</v>
      </c>
    </row>
    <row r="46" spans="1:3" x14ac:dyDescent="0.25">
      <c r="A46" t="s">
        <v>9</v>
      </c>
      <c r="B46">
        <v>2384.415649</v>
      </c>
      <c r="C46" t="s">
        <v>37</v>
      </c>
    </row>
    <row r="47" spans="1:3" x14ac:dyDescent="0.25">
      <c r="A47" t="s">
        <v>9</v>
      </c>
      <c r="B47">
        <v>2141.1080360000001</v>
      </c>
      <c r="C47" t="s">
        <v>37</v>
      </c>
    </row>
    <row r="48" spans="1:3" x14ac:dyDescent="0.25">
      <c r="A48" t="s">
        <v>9</v>
      </c>
      <c r="B48">
        <v>2369.03233</v>
      </c>
      <c r="C48" t="s">
        <v>37</v>
      </c>
    </row>
    <row r="49" spans="1:3" x14ac:dyDescent="0.25">
      <c r="A49" t="s">
        <v>9</v>
      </c>
      <c r="B49">
        <v>1420.5032200000001</v>
      </c>
      <c r="C49" t="s">
        <v>37</v>
      </c>
    </row>
    <row r="50" spans="1:3" x14ac:dyDescent="0.25">
      <c r="A50" t="s">
        <v>9</v>
      </c>
      <c r="B50">
        <v>2376.6990970000002</v>
      </c>
      <c r="C50" t="s">
        <v>37</v>
      </c>
    </row>
    <row r="51" spans="1:3" x14ac:dyDescent="0.25">
      <c r="A51" t="s">
        <v>9</v>
      </c>
      <c r="B51">
        <v>2147.3685829999999</v>
      </c>
      <c r="C51" t="s">
        <v>37</v>
      </c>
    </row>
    <row r="52" spans="1:3" x14ac:dyDescent="0.25">
      <c r="A52" t="s">
        <v>9</v>
      </c>
      <c r="B52">
        <v>2051.396843</v>
      </c>
      <c r="C52" t="s">
        <v>37</v>
      </c>
    </row>
    <row r="53" spans="1:3" x14ac:dyDescent="0.25">
      <c r="A53" t="s">
        <v>9</v>
      </c>
      <c r="B53">
        <v>2392.1824710000001</v>
      </c>
      <c r="C53" t="s">
        <v>37</v>
      </c>
    </row>
    <row r="54" spans="1:3" x14ac:dyDescent="0.25">
      <c r="A54" t="s">
        <v>9</v>
      </c>
      <c r="B54">
        <v>2361.4148660000001</v>
      </c>
      <c r="C54" t="s">
        <v>37</v>
      </c>
    </row>
    <row r="55" spans="1:3" x14ac:dyDescent="0.25">
      <c r="A55" t="s">
        <v>9</v>
      </c>
      <c r="B55">
        <v>2166.3718370000001</v>
      </c>
      <c r="C55" t="s">
        <v>37</v>
      </c>
    </row>
    <row r="56" spans="1:3" x14ac:dyDescent="0.25">
      <c r="A56" t="s">
        <v>9</v>
      </c>
      <c r="B56">
        <v>2034.3492309999999</v>
      </c>
      <c r="C56" t="s">
        <v>37</v>
      </c>
    </row>
    <row r="57" spans="1:3" x14ac:dyDescent="0.25">
      <c r="A57" t="s">
        <v>9</v>
      </c>
      <c r="B57">
        <v>2423.7624219999998</v>
      </c>
      <c r="C57" t="s">
        <v>37</v>
      </c>
    </row>
    <row r="58" spans="1:3" x14ac:dyDescent="0.25">
      <c r="A58" t="s">
        <v>9</v>
      </c>
      <c r="B58">
        <v>2006.557587</v>
      </c>
      <c r="C58" t="s">
        <v>37</v>
      </c>
    </row>
    <row r="59" spans="1:3" x14ac:dyDescent="0.25">
      <c r="A59" t="s">
        <v>9</v>
      </c>
      <c r="B59">
        <v>2415.7895229999999</v>
      </c>
      <c r="C59" t="s">
        <v>37</v>
      </c>
    </row>
    <row r="60" spans="1:3" x14ac:dyDescent="0.25">
      <c r="A60" t="s">
        <v>9</v>
      </c>
      <c r="B60">
        <v>1365.0560840000001</v>
      </c>
      <c r="C60" t="s">
        <v>37</v>
      </c>
    </row>
    <row r="61" spans="1:3" x14ac:dyDescent="0.25">
      <c r="A61" t="s">
        <v>9</v>
      </c>
      <c r="B61">
        <v>2122.5435240000002</v>
      </c>
      <c r="C61" t="s">
        <v>37</v>
      </c>
    </row>
    <row r="62" spans="1:3" x14ac:dyDescent="0.25">
      <c r="A62" t="s">
        <v>10</v>
      </c>
      <c r="B62">
        <v>2160.0001579999998</v>
      </c>
      <c r="C62" t="s">
        <v>37</v>
      </c>
    </row>
    <row r="63" spans="1:3" x14ac:dyDescent="0.25">
      <c r="A63" t="s">
        <v>10</v>
      </c>
      <c r="B63">
        <v>2147.3685829999999</v>
      </c>
      <c r="C63" t="s">
        <v>37</v>
      </c>
    </row>
    <row r="64" spans="1:3" x14ac:dyDescent="0.25">
      <c r="A64" t="s">
        <v>10</v>
      </c>
      <c r="B64">
        <v>2153.665849</v>
      </c>
      <c r="C64" t="s">
        <v>37</v>
      </c>
    </row>
    <row r="65" spans="1:3" x14ac:dyDescent="0.25">
      <c r="A65" t="s">
        <v>10</v>
      </c>
      <c r="B65">
        <v>2141.1080360000001</v>
      </c>
      <c r="C65" t="s">
        <v>37</v>
      </c>
    </row>
    <row r="66" spans="1:3" x14ac:dyDescent="0.25">
      <c r="A66" t="s">
        <v>10</v>
      </c>
      <c r="B66">
        <v>2128.6958209999998</v>
      </c>
      <c r="C66" t="s">
        <v>37</v>
      </c>
    </row>
    <row r="67" spans="1:3" x14ac:dyDescent="0.25">
      <c r="A67" t="s">
        <v>10</v>
      </c>
      <c r="B67">
        <v>2122.5435240000002</v>
      </c>
      <c r="C67" t="s">
        <v>37</v>
      </c>
    </row>
    <row r="68" spans="1:3" x14ac:dyDescent="0.25">
      <c r="A68" t="s">
        <v>10</v>
      </c>
      <c r="B68">
        <v>2134.8838879999998</v>
      </c>
      <c r="C68" t="s">
        <v>37</v>
      </c>
    </row>
    <row r="69" spans="1:3" x14ac:dyDescent="0.25">
      <c r="A69" t="s">
        <v>10</v>
      </c>
      <c r="B69">
        <v>2023.1406999999999</v>
      </c>
      <c r="C69" t="s">
        <v>37</v>
      </c>
    </row>
    <row r="70" spans="1:3" x14ac:dyDescent="0.25">
      <c r="A70" t="s">
        <v>10</v>
      </c>
      <c r="B70">
        <v>1462.948523</v>
      </c>
      <c r="C70" t="s">
        <v>37</v>
      </c>
    </row>
    <row r="71" spans="1:3" x14ac:dyDescent="0.25">
      <c r="A71" t="s">
        <v>10</v>
      </c>
      <c r="B71">
        <v>2384.415649</v>
      </c>
      <c r="C71" t="s">
        <v>37</v>
      </c>
    </row>
    <row r="72" spans="1:3" x14ac:dyDescent="0.25">
      <c r="A72" t="s">
        <v>10</v>
      </c>
      <c r="B72">
        <v>2415.7895229999999</v>
      </c>
      <c r="C72" t="s">
        <v>37</v>
      </c>
    </row>
    <row r="73" spans="1:3" x14ac:dyDescent="0.25">
      <c r="A73" t="s">
        <v>10</v>
      </c>
      <c r="B73">
        <v>2116.4266859999998</v>
      </c>
      <c r="C73" t="s">
        <v>37</v>
      </c>
    </row>
    <row r="74" spans="1:3" x14ac:dyDescent="0.25">
      <c r="A74" t="s">
        <v>10</v>
      </c>
      <c r="B74">
        <v>2400.0000570000002</v>
      </c>
      <c r="C74" t="s">
        <v>37</v>
      </c>
    </row>
    <row r="75" spans="1:3" x14ac:dyDescent="0.25">
      <c r="A75" t="s">
        <v>10</v>
      </c>
      <c r="B75">
        <v>2407.8689060000002</v>
      </c>
      <c r="C75" t="s">
        <v>37</v>
      </c>
    </row>
    <row r="76" spans="1:3" x14ac:dyDescent="0.25">
      <c r="A76" t="s">
        <v>10</v>
      </c>
      <c r="B76">
        <v>1428.794093</v>
      </c>
      <c r="C76" t="s">
        <v>37</v>
      </c>
    </row>
    <row r="77" spans="1:3" x14ac:dyDescent="0.25">
      <c r="A77" t="s">
        <v>10</v>
      </c>
      <c r="B77">
        <v>2028.729484</v>
      </c>
      <c r="C77" t="s">
        <v>37</v>
      </c>
    </row>
    <row r="78" spans="1:3" x14ac:dyDescent="0.25">
      <c r="A78" t="s">
        <v>10</v>
      </c>
      <c r="B78">
        <v>2431.7881219999999</v>
      </c>
      <c r="C78" t="s">
        <v>37</v>
      </c>
    </row>
    <row r="79" spans="1:3" x14ac:dyDescent="0.25">
      <c r="A79" t="s">
        <v>10</v>
      </c>
      <c r="B79">
        <v>1465.868579</v>
      </c>
      <c r="C79" t="s">
        <v>37</v>
      </c>
    </row>
    <row r="80" spans="1:3" x14ac:dyDescent="0.25">
      <c r="A80" t="s">
        <v>10</v>
      </c>
      <c r="B80">
        <v>2376.6990970000002</v>
      </c>
      <c r="C80" t="s">
        <v>37</v>
      </c>
    </row>
    <row r="81" spans="1:3" x14ac:dyDescent="0.25">
      <c r="A81" t="s">
        <v>10</v>
      </c>
      <c r="B81">
        <v>2423.7624219999998</v>
      </c>
      <c r="C81" t="s">
        <v>37</v>
      </c>
    </row>
    <row r="82" spans="1:3" x14ac:dyDescent="0.25">
      <c r="A82" t="s">
        <v>11</v>
      </c>
      <c r="B82">
        <v>2361.4148660000001</v>
      </c>
      <c r="C82" t="s">
        <v>37</v>
      </c>
    </row>
    <row r="83" spans="1:3" x14ac:dyDescent="0.25">
      <c r="A83" t="s">
        <v>11</v>
      </c>
      <c r="B83">
        <v>2369.03233</v>
      </c>
      <c r="C83" t="s">
        <v>37</v>
      </c>
    </row>
    <row r="84" spans="1:3" x14ac:dyDescent="0.25">
      <c r="A84" t="s">
        <v>11</v>
      </c>
      <c r="B84">
        <v>2353.8462319999999</v>
      </c>
      <c r="C84" t="s">
        <v>37</v>
      </c>
    </row>
    <row r="85" spans="1:3" x14ac:dyDescent="0.25">
      <c r="A85" t="s">
        <v>11</v>
      </c>
      <c r="B85">
        <v>2376.6990970000002</v>
      </c>
      <c r="C85" t="s">
        <v>37</v>
      </c>
    </row>
    <row r="86" spans="1:3" x14ac:dyDescent="0.25">
      <c r="A86" t="s">
        <v>11</v>
      </c>
      <c r="B86">
        <v>1696.074188</v>
      </c>
      <c r="C86" t="s">
        <v>37</v>
      </c>
    </row>
    <row r="87" spans="1:3" x14ac:dyDescent="0.25">
      <c r="A87" t="s">
        <v>11</v>
      </c>
      <c r="B87">
        <v>2384.415649</v>
      </c>
      <c r="C87" t="s">
        <v>37</v>
      </c>
    </row>
    <row r="88" spans="1:3" x14ac:dyDescent="0.25">
      <c r="A88" t="s">
        <v>11</v>
      </c>
      <c r="B88">
        <v>2309.43406</v>
      </c>
      <c r="C88" t="s">
        <v>37</v>
      </c>
    </row>
    <row r="89" spans="1:3" x14ac:dyDescent="0.25">
      <c r="A89" t="s">
        <v>11</v>
      </c>
      <c r="B89">
        <v>1878.261115</v>
      </c>
      <c r="C89" t="s">
        <v>37</v>
      </c>
    </row>
    <row r="90" spans="1:3" x14ac:dyDescent="0.25">
      <c r="A90" t="s">
        <v>11</v>
      </c>
      <c r="B90">
        <v>2346.3259600000001</v>
      </c>
      <c r="C90" t="s">
        <v>37</v>
      </c>
    </row>
    <row r="91" spans="1:3" x14ac:dyDescent="0.25">
      <c r="A91" t="s">
        <v>11</v>
      </c>
      <c r="B91">
        <v>2295.0001040000002</v>
      </c>
      <c r="C91" t="s">
        <v>37</v>
      </c>
    </row>
    <row r="92" spans="1:3" x14ac:dyDescent="0.25">
      <c r="A92" t="s">
        <v>11</v>
      </c>
      <c r="B92">
        <v>1700.000284</v>
      </c>
      <c r="C92" t="s">
        <v>37</v>
      </c>
    </row>
    <row r="93" spans="1:3" x14ac:dyDescent="0.25">
      <c r="A93" t="s">
        <v>11</v>
      </c>
      <c r="B93">
        <v>1711.8883940000001</v>
      </c>
      <c r="C93" t="s">
        <v>37</v>
      </c>
    </row>
    <row r="94" spans="1:3" x14ac:dyDescent="0.25">
      <c r="A94" t="s">
        <v>11</v>
      </c>
      <c r="B94">
        <v>2302.1944579999999</v>
      </c>
      <c r="C94" t="s">
        <v>37</v>
      </c>
    </row>
    <row r="95" spans="1:3" x14ac:dyDescent="0.25">
      <c r="A95" t="s">
        <v>11</v>
      </c>
      <c r="B95">
        <v>2316.7193379999999</v>
      </c>
      <c r="C95" t="s">
        <v>37</v>
      </c>
    </row>
    <row r="96" spans="1:3" x14ac:dyDescent="0.25">
      <c r="A96" t="s">
        <v>11</v>
      </c>
      <c r="B96">
        <v>1984.8650809999999</v>
      </c>
      <c r="C96" t="s">
        <v>37</v>
      </c>
    </row>
    <row r="97" spans="1:3" x14ac:dyDescent="0.25">
      <c r="A97" t="s">
        <v>11</v>
      </c>
      <c r="B97">
        <v>2280.7454520000001</v>
      </c>
      <c r="C97" t="s">
        <v>37</v>
      </c>
    </row>
    <row r="98" spans="1:3" x14ac:dyDescent="0.25">
      <c r="A98" t="s">
        <v>11</v>
      </c>
      <c r="B98">
        <v>2273.6843239999998</v>
      </c>
      <c r="C98" t="s">
        <v>37</v>
      </c>
    </row>
    <row r="99" spans="1:3" x14ac:dyDescent="0.25">
      <c r="A99" t="s">
        <v>11</v>
      </c>
      <c r="B99">
        <v>2287.8505740000001</v>
      </c>
      <c r="C99" t="s">
        <v>37</v>
      </c>
    </row>
    <row r="100" spans="1:3" x14ac:dyDescent="0.25">
      <c r="A100" t="s">
        <v>11</v>
      </c>
      <c r="B100">
        <v>1715.888132</v>
      </c>
      <c r="C100" t="s">
        <v>37</v>
      </c>
    </row>
    <row r="101" spans="1:3" x14ac:dyDescent="0.25">
      <c r="A101" t="s">
        <v>11</v>
      </c>
      <c r="B101">
        <v>2040.0001990000001</v>
      </c>
      <c r="C101" t="s">
        <v>37</v>
      </c>
    </row>
    <row r="102" spans="1:3" x14ac:dyDescent="0.25">
      <c r="A102" t="s">
        <v>12</v>
      </c>
      <c r="B102">
        <v>1696.074188</v>
      </c>
      <c r="C102" t="s">
        <v>37</v>
      </c>
    </row>
    <row r="103" spans="1:3" x14ac:dyDescent="0.25">
      <c r="A103" t="s">
        <v>12</v>
      </c>
      <c r="B103">
        <v>2361.4148660000001</v>
      </c>
      <c r="C103" t="s">
        <v>37</v>
      </c>
    </row>
    <row r="104" spans="1:3" x14ac:dyDescent="0.25">
      <c r="A104" t="s">
        <v>12</v>
      </c>
      <c r="B104">
        <v>2001.09013</v>
      </c>
      <c r="C104" t="s">
        <v>37</v>
      </c>
    </row>
    <row r="105" spans="1:3" x14ac:dyDescent="0.25">
      <c r="A105" t="s">
        <v>12</v>
      </c>
      <c r="B105">
        <v>1692.1661839999999</v>
      </c>
      <c r="C105" t="s">
        <v>37</v>
      </c>
    </row>
    <row r="106" spans="1:3" x14ac:dyDescent="0.25">
      <c r="A106" t="s">
        <v>12</v>
      </c>
      <c r="B106">
        <v>2353.8462319999999</v>
      </c>
      <c r="C106" t="s">
        <v>37</v>
      </c>
    </row>
    <row r="107" spans="1:3" x14ac:dyDescent="0.25">
      <c r="A107" t="s">
        <v>12</v>
      </c>
      <c r="B107">
        <v>1963.6365860000001</v>
      </c>
      <c r="C107" t="s">
        <v>37</v>
      </c>
    </row>
    <row r="108" spans="1:3" x14ac:dyDescent="0.25">
      <c r="A108" t="s">
        <v>12</v>
      </c>
      <c r="B108">
        <v>2369.03233</v>
      </c>
      <c r="C108" t="s">
        <v>37</v>
      </c>
    </row>
    <row r="109" spans="1:3" x14ac:dyDescent="0.25">
      <c r="A109" t="s">
        <v>12</v>
      </c>
      <c r="B109">
        <v>1409.5972489999999</v>
      </c>
      <c r="C109" t="s">
        <v>37</v>
      </c>
    </row>
    <row r="110" spans="1:3" x14ac:dyDescent="0.25">
      <c r="A110" t="s">
        <v>12</v>
      </c>
      <c r="B110">
        <v>1700.000284</v>
      </c>
      <c r="C110" t="s">
        <v>37</v>
      </c>
    </row>
    <row r="111" spans="1:3" x14ac:dyDescent="0.25">
      <c r="A111" t="s">
        <v>12</v>
      </c>
      <c r="B111">
        <v>2006.557587</v>
      </c>
      <c r="C111" t="s">
        <v>37</v>
      </c>
    </row>
    <row r="112" spans="1:3" x14ac:dyDescent="0.25">
      <c r="A112" t="s">
        <v>12</v>
      </c>
      <c r="B112">
        <v>1958.400224</v>
      </c>
      <c r="C112" t="s">
        <v>37</v>
      </c>
    </row>
    <row r="113" spans="1:3" x14ac:dyDescent="0.25">
      <c r="A113" t="s">
        <v>12</v>
      </c>
      <c r="B113">
        <v>2346.3259600000001</v>
      </c>
      <c r="C113" t="s">
        <v>37</v>
      </c>
    </row>
    <row r="114" spans="1:3" x14ac:dyDescent="0.25">
      <c r="A114" t="s">
        <v>12</v>
      </c>
      <c r="B114">
        <v>1669.091199</v>
      </c>
      <c r="C114" t="s">
        <v>37</v>
      </c>
    </row>
    <row r="115" spans="1:3" x14ac:dyDescent="0.25">
      <c r="A115" t="s">
        <v>12</v>
      </c>
      <c r="B115">
        <v>1635.635039</v>
      </c>
      <c r="C115" t="s">
        <v>37</v>
      </c>
    </row>
    <row r="116" spans="1:3" x14ac:dyDescent="0.25">
      <c r="A116" t="s">
        <v>12</v>
      </c>
      <c r="B116">
        <v>1953.1917149999999</v>
      </c>
      <c r="C116" t="s">
        <v>37</v>
      </c>
    </row>
    <row r="117" spans="1:3" x14ac:dyDescent="0.25">
      <c r="A117" t="s">
        <v>12</v>
      </c>
      <c r="B117">
        <v>1632.0002959999999</v>
      </c>
      <c r="C117" t="s">
        <v>37</v>
      </c>
    </row>
    <row r="118" spans="1:3" x14ac:dyDescent="0.25">
      <c r="A118" t="s">
        <v>12</v>
      </c>
      <c r="B118">
        <v>1468.800315</v>
      </c>
      <c r="C118" t="s">
        <v>37</v>
      </c>
    </row>
    <row r="119" spans="1:3" x14ac:dyDescent="0.25">
      <c r="A119" t="s">
        <v>12</v>
      </c>
      <c r="B119">
        <v>1995.6523870000001</v>
      </c>
      <c r="C119" t="s">
        <v>37</v>
      </c>
    </row>
    <row r="120" spans="1:3" x14ac:dyDescent="0.25">
      <c r="A120" t="s">
        <v>12</v>
      </c>
      <c r="B120">
        <v>1471.743802</v>
      </c>
      <c r="C120" t="s">
        <v>37</v>
      </c>
    </row>
    <row r="121" spans="1:3" x14ac:dyDescent="0.25">
      <c r="A121" t="s">
        <v>12</v>
      </c>
      <c r="B121">
        <v>1412.308012</v>
      </c>
      <c r="C121" t="s">
        <v>37</v>
      </c>
    </row>
    <row r="122" spans="1:3" x14ac:dyDescent="0.25">
      <c r="A122" t="s">
        <v>13</v>
      </c>
      <c r="B122">
        <v>2172.7812180000001</v>
      </c>
      <c r="C122" t="s">
        <v>37</v>
      </c>
    </row>
    <row r="123" spans="1:3" x14ac:dyDescent="0.25">
      <c r="A123" t="s">
        <v>13</v>
      </c>
      <c r="B123">
        <v>2160.0001579999998</v>
      </c>
      <c r="C123" t="s">
        <v>37</v>
      </c>
    </row>
    <row r="124" spans="1:3" x14ac:dyDescent="0.25">
      <c r="A124" t="s">
        <v>13</v>
      </c>
      <c r="B124">
        <v>1922.5133229999999</v>
      </c>
      <c r="C124" t="s">
        <v>37</v>
      </c>
    </row>
    <row r="125" spans="1:3" x14ac:dyDescent="0.25">
      <c r="A125" t="s">
        <v>13</v>
      </c>
      <c r="B125">
        <v>2166.3718370000001</v>
      </c>
      <c r="C125" t="s">
        <v>37</v>
      </c>
    </row>
    <row r="126" spans="1:3" x14ac:dyDescent="0.25">
      <c r="A126" t="s">
        <v>13</v>
      </c>
      <c r="B126">
        <v>2141.1080360000001</v>
      </c>
      <c r="C126" t="s">
        <v>37</v>
      </c>
    </row>
    <row r="127" spans="1:3" x14ac:dyDescent="0.25">
      <c r="A127" t="s">
        <v>13</v>
      </c>
      <c r="B127">
        <v>2153.665849</v>
      </c>
      <c r="C127" t="s">
        <v>37</v>
      </c>
    </row>
    <row r="128" spans="1:3" x14ac:dyDescent="0.25">
      <c r="A128" t="s">
        <v>13</v>
      </c>
      <c r="B128">
        <v>2147.3685829999999</v>
      </c>
      <c r="C128" t="s">
        <v>37</v>
      </c>
    </row>
    <row r="129" spans="1:3" x14ac:dyDescent="0.25">
      <c r="A129" t="s">
        <v>13</v>
      </c>
      <c r="B129">
        <v>2179.2286370000002</v>
      </c>
      <c r="C129" t="s">
        <v>37</v>
      </c>
    </row>
    <row r="130" spans="1:3" x14ac:dyDescent="0.25">
      <c r="A130" t="s">
        <v>13</v>
      </c>
      <c r="B130">
        <v>2051.396843</v>
      </c>
      <c r="C130" t="s">
        <v>37</v>
      </c>
    </row>
    <row r="131" spans="1:3" x14ac:dyDescent="0.25">
      <c r="A131" t="s">
        <v>13</v>
      </c>
      <c r="B131">
        <v>1661.538753</v>
      </c>
      <c r="C131" t="s">
        <v>37</v>
      </c>
    </row>
    <row r="132" spans="1:3" x14ac:dyDescent="0.25">
      <c r="A132" t="s">
        <v>13</v>
      </c>
      <c r="B132">
        <v>1669.091199</v>
      </c>
      <c r="C132" t="s">
        <v>37</v>
      </c>
    </row>
    <row r="133" spans="1:3" x14ac:dyDescent="0.25">
      <c r="A133" t="s">
        <v>13</v>
      </c>
      <c r="B133">
        <v>2134.8838879999998</v>
      </c>
      <c r="C133" t="s">
        <v>37</v>
      </c>
    </row>
    <row r="134" spans="1:3" x14ac:dyDescent="0.25">
      <c r="A134" t="s">
        <v>13</v>
      </c>
      <c r="B134">
        <v>1628.3816710000001</v>
      </c>
      <c r="C134" t="s">
        <v>37</v>
      </c>
    </row>
    <row r="135" spans="1:3" x14ac:dyDescent="0.25">
      <c r="A135" t="s">
        <v>13</v>
      </c>
      <c r="B135">
        <v>1632.0002959999999</v>
      </c>
      <c r="C135" t="s">
        <v>37</v>
      </c>
    </row>
    <row r="136" spans="1:3" x14ac:dyDescent="0.25">
      <c r="A136" t="s">
        <v>13</v>
      </c>
      <c r="B136">
        <v>1624.7790580000001</v>
      </c>
      <c r="C136" t="s">
        <v>37</v>
      </c>
    </row>
    <row r="137" spans="1:3" x14ac:dyDescent="0.25">
      <c r="A137" t="s">
        <v>13</v>
      </c>
      <c r="B137">
        <v>1593.0588700000001</v>
      </c>
      <c r="C137" t="s">
        <v>37</v>
      </c>
    </row>
    <row r="138" spans="1:3" x14ac:dyDescent="0.25">
      <c r="A138" t="s">
        <v>13</v>
      </c>
      <c r="B138">
        <v>1826.8659299999999</v>
      </c>
      <c r="C138" t="s">
        <v>37</v>
      </c>
    </row>
    <row r="139" spans="1:3" x14ac:dyDescent="0.25">
      <c r="A139" t="s">
        <v>13</v>
      </c>
      <c r="B139">
        <v>1752.7449039999999</v>
      </c>
      <c r="C139" t="s">
        <v>37</v>
      </c>
    </row>
    <row r="140" spans="1:3" x14ac:dyDescent="0.25">
      <c r="A140" t="s">
        <v>13</v>
      </c>
      <c r="B140">
        <v>1822.3327650000001</v>
      </c>
      <c r="C140" t="s">
        <v>37</v>
      </c>
    </row>
    <row r="141" spans="1:3" x14ac:dyDescent="0.25">
      <c r="A141" t="s">
        <v>13</v>
      </c>
      <c r="B141">
        <v>1657.788102</v>
      </c>
      <c r="C141" t="s">
        <v>37</v>
      </c>
    </row>
    <row r="142" spans="1:3" x14ac:dyDescent="0.25">
      <c r="A142" t="s">
        <v>14</v>
      </c>
      <c r="B142">
        <v>2166.3718370000001</v>
      </c>
      <c r="C142" t="s">
        <v>37</v>
      </c>
    </row>
    <row r="143" spans="1:3" x14ac:dyDescent="0.25">
      <c r="A143" t="s">
        <v>14</v>
      </c>
      <c r="B143">
        <v>2172.7812180000001</v>
      </c>
      <c r="C143" t="s">
        <v>37</v>
      </c>
    </row>
    <row r="144" spans="1:3" x14ac:dyDescent="0.25">
      <c r="A144" t="s">
        <v>14</v>
      </c>
      <c r="B144">
        <v>2160.0001579999998</v>
      </c>
      <c r="C144" t="s">
        <v>37</v>
      </c>
    </row>
    <row r="145" spans="1:3" x14ac:dyDescent="0.25">
      <c r="A145" t="s">
        <v>14</v>
      </c>
      <c r="B145">
        <v>2179.2286370000002</v>
      </c>
      <c r="C145" t="s">
        <v>37</v>
      </c>
    </row>
    <row r="146" spans="1:3" x14ac:dyDescent="0.25">
      <c r="A146" t="s">
        <v>14</v>
      </c>
      <c r="B146">
        <v>1661.538753</v>
      </c>
      <c r="C146" t="s">
        <v>37</v>
      </c>
    </row>
    <row r="147" spans="1:3" x14ac:dyDescent="0.25">
      <c r="A147" t="s">
        <v>14</v>
      </c>
      <c r="B147">
        <v>2153.665849</v>
      </c>
      <c r="C147" t="s">
        <v>37</v>
      </c>
    </row>
    <row r="148" spans="1:3" x14ac:dyDescent="0.25">
      <c r="A148" t="s">
        <v>14</v>
      </c>
      <c r="B148">
        <v>2185.714434</v>
      </c>
      <c r="C148" t="s">
        <v>37</v>
      </c>
    </row>
    <row r="149" spans="1:3" x14ac:dyDescent="0.25">
      <c r="A149" t="s">
        <v>14</v>
      </c>
      <c r="B149">
        <v>2122.5435240000002</v>
      </c>
      <c r="C149" t="s">
        <v>37</v>
      </c>
    </row>
    <row r="150" spans="1:3" x14ac:dyDescent="0.25">
      <c r="A150" t="s">
        <v>14</v>
      </c>
      <c r="B150">
        <v>2192.2389520000002</v>
      </c>
      <c r="C150" t="s">
        <v>37</v>
      </c>
    </row>
    <row r="151" spans="1:3" x14ac:dyDescent="0.25">
      <c r="A151" t="s">
        <v>14</v>
      </c>
      <c r="B151">
        <v>1822.3327650000001</v>
      </c>
      <c r="C151" t="s">
        <v>37</v>
      </c>
    </row>
    <row r="152" spans="1:3" x14ac:dyDescent="0.25">
      <c r="A152" t="s">
        <v>14</v>
      </c>
      <c r="B152">
        <v>2134.8838879999998</v>
      </c>
      <c r="C152" t="s">
        <v>37</v>
      </c>
    </row>
    <row r="153" spans="1:3" x14ac:dyDescent="0.25">
      <c r="A153" t="s">
        <v>14</v>
      </c>
      <c r="B153">
        <v>2147.3685829999999</v>
      </c>
      <c r="C153" t="s">
        <v>37</v>
      </c>
    </row>
    <row r="154" spans="1:3" x14ac:dyDescent="0.25">
      <c r="A154" t="s">
        <v>14</v>
      </c>
      <c r="B154">
        <v>1813.3335950000001</v>
      </c>
      <c r="C154" t="s">
        <v>37</v>
      </c>
    </row>
    <row r="155" spans="1:3" x14ac:dyDescent="0.25">
      <c r="A155" t="s">
        <v>14</v>
      </c>
      <c r="B155">
        <v>1642.9533140000001</v>
      </c>
      <c r="C155" t="s">
        <v>37</v>
      </c>
    </row>
    <row r="156" spans="1:3" x14ac:dyDescent="0.25">
      <c r="A156" t="s">
        <v>14</v>
      </c>
      <c r="B156">
        <v>1817.822042</v>
      </c>
      <c r="C156" t="s">
        <v>37</v>
      </c>
    </row>
    <row r="157" spans="1:3" x14ac:dyDescent="0.25">
      <c r="A157" t="s">
        <v>14</v>
      </c>
      <c r="B157">
        <v>1665.306413</v>
      </c>
      <c r="C157" t="s">
        <v>37</v>
      </c>
    </row>
    <row r="158" spans="1:3" x14ac:dyDescent="0.25">
      <c r="A158" t="s">
        <v>14</v>
      </c>
      <c r="B158">
        <v>1672.8932279999999</v>
      </c>
      <c r="C158" t="s">
        <v>37</v>
      </c>
    </row>
    <row r="159" spans="1:3" x14ac:dyDescent="0.25">
      <c r="A159" t="s">
        <v>14</v>
      </c>
      <c r="B159">
        <v>2448.0000340000001</v>
      </c>
      <c r="C159" t="s">
        <v>37</v>
      </c>
    </row>
    <row r="160" spans="1:3" x14ac:dyDescent="0.25">
      <c r="A160" t="s">
        <v>14</v>
      </c>
      <c r="B160">
        <v>1808.8672570000001</v>
      </c>
      <c r="C160" t="s">
        <v>37</v>
      </c>
    </row>
    <row r="161" spans="1:3" x14ac:dyDescent="0.25">
      <c r="A161" t="s">
        <v>14</v>
      </c>
      <c r="B161" s="13">
        <v>2141.1080360000001</v>
      </c>
      <c r="C161" t="s">
        <v>37</v>
      </c>
    </row>
    <row r="162" spans="1:3" x14ac:dyDescent="0.25">
      <c r="A162" t="s">
        <v>3</v>
      </c>
      <c r="B162">
        <v>2353.8462319999999</v>
      </c>
      <c r="C162" t="s">
        <v>36</v>
      </c>
    </row>
    <row r="163" spans="1:3" x14ac:dyDescent="0.25">
      <c r="A163" t="s">
        <v>3</v>
      </c>
      <c r="B163">
        <v>1676.7126169999999</v>
      </c>
      <c r="C163" t="s">
        <v>36</v>
      </c>
    </row>
    <row r="164" spans="1:3" x14ac:dyDescent="0.25">
      <c r="A164" t="s">
        <v>3</v>
      </c>
      <c r="B164">
        <v>1672.8932279999999</v>
      </c>
      <c r="C164" t="s">
        <v>36</v>
      </c>
    </row>
    <row r="165" spans="1:3" x14ac:dyDescent="0.25">
      <c r="A165" t="s">
        <v>3</v>
      </c>
      <c r="B165">
        <v>1669.091199</v>
      </c>
      <c r="C165" t="s">
        <v>36</v>
      </c>
    </row>
    <row r="166" spans="1:3" x14ac:dyDescent="0.25">
      <c r="A166" t="s">
        <v>3</v>
      </c>
      <c r="B166">
        <v>1526.819436</v>
      </c>
      <c r="C166" t="s">
        <v>36</v>
      </c>
    </row>
    <row r="167" spans="1:3" x14ac:dyDescent="0.25">
      <c r="A167" t="s">
        <v>3</v>
      </c>
      <c r="B167">
        <v>1549.3673960000001</v>
      </c>
      <c r="C167" t="s">
        <v>36</v>
      </c>
    </row>
    <row r="168" spans="1:3" x14ac:dyDescent="0.25">
      <c r="A168" t="s">
        <v>8</v>
      </c>
      <c r="B168">
        <v>2160.0001579999998</v>
      </c>
      <c r="C168" t="s">
        <v>36</v>
      </c>
    </row>
    <row r="169" spans="1:3" x14ac:dyDescent="0.25">
      <c r="A169" t="s">
        <v>8</v>
      </c>
      <c r="B169">
        <v>1511.1114219999999</v>
      </c>
      <c r="C169" t="s">
        <v>36</v>
      </c>
    </row>
    <row r="170" spans="1:3" x14ac:dyDescent="0.25">
      <c r="A170" t="s">
        <v>8</v>
      </c>
      <c r="B170">
        <v>2153.665849</v>
      </c>
      <c r="C170" t="s">
        <v>36</v>
      </c>
    </row>
    <row r="171" spans="1:3" x14ac:dyDescent="0.25">
      <c r="A171" t="s">
        <v>8</v>
      </c>
      <c r="B171">
        <v>2166.3718370000001</v>
      </c>
      <c r="C171" t="s">
        <v>36</v>
      </c>
    </row>
    <row r="172" spans="1:3" x14ac:dyDescent="0.25">
      <c r="A172" t="s">
        <v>8</v>
      </c>
      <c r="B172">
        <v>2400.0000570000002</v>
      </c>
      <c r="C172" t="s">
        <v>36</v>
      </c>
    </row>
    <row r="173" spans="1:3" x14ac:dyDescent="0.25">
      <c r="A173" t="s">
        <v>8</v>
      </c>
      <c r="B173">
        <v>1665.306413</v>
      </c>
      <c r="C173" t="s">
        <v>36</v>
      </c>
    </row>
    <row r="174" spans="1:3" x14ac:dyDescent="0.25">
      <c r="A174" t="s">
        <v>8</v>
      </c>
      <c r="B174">
        <v>2147.3685829999999</v>
      </c>
      <c r="C174" t="s">
        <v>36</v>
      </c>
    </row>
    <row r="175" spans="1:3" x14ac:dyDescent="0.25">
      <c r="A175" t="s">
        <v>8</v>
      </c>
      <c r="B175">
        <v>2034.3492309999999</v>
      </c>
      <c r="C175" t="s">
        <v>36</v>
      </c>
    </row>
    <row r="176" spans="1:3" x14ac:dyDescent="0.25">
      <c r="A176" t="s">
        <v>8</v>
      </c>
      <c r="B176">
        <v>2172.7812180000001</v>
      </c>
      <c r="C176" t="s">
        <v>36</v>
      </c>
    </row>
    <row r="177" spans="1:3" x14ac:dyDescent="0.25">
      <c r="A177" t="s">
        <v>8</v>
      </c>
      <c r="B177">
        <v>1661.538753</v>
      </c>
      <c r="C177" t="s">
        <v>36</v>
      </c>
    </row>
    <row r="178" spans="1:3" x14ac:dyDescent="0.25">
      <c r="A178" t="s">
        <v>8</v>
      </c>
      <c r="B178">
        <v>2392.1824710000001</v>
      </c>
      <c r="C178" t="s">
        <v>36</v>
      </c>
    </row>
    <row r="179" spans="1:3" x14ac:dyDescent="0.25">
      <c r="A179" t="s">
        <v>8</v>
      </c>
      <c r="B179">
        <v>1514.2271149999999</v>
      </c>
      <c r="C179" t="s">
        <v>36</v>
      </c>
    </row>
    <row r="180" spans="1:3" x14ac:dyDescent="0.25">
      <c r="A180" t="s">
        <v>8</v>
      </c>
      <c r="B180">
        <v>2028.729484</v>
      </c>
      <c r="C180" t="s">
        <v>36</v>
      </c>
    </row>
    <row r="181" spans="1:3" x14ac:dyDescent="0.25">
      <c r="A181" t="s">
        <v>8</v>
      </c>
      <c r="B181">
        <v>2324.0507240000002</v>
      </c>
      <c r="C181" t="s">
        <v>36</v>
      </c>
    </row>
    <row r="182" spans="1:3" x14ac:dyDescent="0.25">
      <c r="A182" t="s">
        <v>8</v>
      </c>
      <c r="B182">
        <v>2141.1080360000001</v>
      </c>
      <c r="C182" t="s">
        <v>36</v>
      </c>
    </row>
    <row r="183" spans="1:3" x14ac:dyDescent="0.25">
      <c r="A183" t="s">
        <v>8</v>
      </c>
      <c r="B183">
        <v>2407.8689060000002</v>
      </c>
      <c r="C183" t="s">
        <v>36</v>
      </c>
    </row>
    <row r="184" spans="1:3" x14ac:dyDescent="0.25">
      <c r="A184" t="s">
        <v>8</v>
      </c>
      <c r="B184">
        <v>1990.244117</v>
      </c>
      <c r="C184" t="s">
        <v>36</v>
      </c>
    </row>
    <row r="185" spans="1:3" x14ac:dyDescent="0.25">
      <c r="A185" t="s">
        <v>8</v>
      </c>
      <c r="B185">
        <v>1471.743802</v>
      </c>
      <c r="C185" t="s">
        <v>36</v>
      </c>
    </row>
    <row r="186" spans="1:3" x14ac:dyDescent="0.25">
      <c r="A186" t="s">
        <v>9</v>
      </c>
      <c r="B186">
        <v>2134.8838879999998</v>
      </c>
      <c r="C186" t="s">
        <v>36</v>
      </c>
    </row>
    <row r="187" spans="1:3" x14ac:dyDescent="0.25">
      <c r="A187" t="s">
        <v>9</v>
      </c>
      <c r="B187">
        <v>2128.6958209999998</v>
      </c>
      <c r="C187" t="s">
        <v>36</v>
      </c>
    </row>
    <row r="188" spans="1:3" x14ac:dyDescent="0.25">
      <c r="A188" t="s">
        <v>9</v>
      </c>
      <c r="B188">
        <v>2141.1080360000001</v>
      </c>
      <c r="C188" t="s">
        <v>36</v>
      </c>
    </row>
    <row r="189" spans="1:3" x14ac:dyDescent="0.25">
      <c r="A189" t="s">
        <v>9</v>
      </c>
      <c r="B189">
        <v>2384.415649</v>
      </c>
      <c r="C189" t="s">
        <v>36</v>
      </c>
    </row>
    <row r="190" spans="1:3" x14ac:dyDescent="0.25">
      <c r="A190" t="s">
        <v>9</v>
      </c>
      <c r="B190">
        <v>2122.5435240000002</v>
      </c>
      <c r="C190" t="s">
        <v>36</v>
      </c>
    </row>
    <row r="191" spans="1:3" x14ac:dyDescent="0.25">
      <c r="A191" t="s">
        <v>9</v>
      </c>
      <c r="B191">
        <v>2392.1824710000001</v>
      </c>
      <c r="C191" t="s">
        <v>36</v>
      </c>
    </row>
    <row r="192" spans="1:3" x14ac:dyDescent="0.25">
      <c r="A192" t="s">
        <v>9</v>
      </c>
      <c r="B192">
        <v>2153.665849</v>
      </c>
      <c r="C192" t="s">
        <v>36</v>
      </c>
    </row>
    <row r="193" spans="1:3" x14ac:dyDescent="0.25">
      <c r="A193" t="s">
        <v>9</v>
      </c>
      <c r="B193">
        <v>2147.3685829999999</v>
      </c>
      <c r="C193" t="s">
        <v>36</v>
      </c>
    </row>
    <row r="194" spans="1:3" x14ac:dyDescent="0.25">
      <c r="A194" t="s">
        <v>9</v>
      </c>
      <c r="B194">
        <v>2376.6990970000002</v>
      </c>
      <c r="C194" t="s">
        <v>36</v>
      </c>
    </row>
    <row r="195" spans="1:3" x14ac:dyDescent="0.25">
      <c r="A195" t="s">
        <v>9</v>
      </c>
      <c r="B195">
        <v>2034.3492309999999</v>
      </c>
      <c r="C195" t="s">
        <v>36</v>
      </c>
    </row>
    <row r="196" spans="1:3" x14ac:dyDescent="0.25">
      <c r="A196" t="s">
        <v>9</v>
      </c>
      <c r="B196">
        <v>2160.0001579999998</v>
      </c>
      <c r="C196" t="s">
        <v>36</v>
      </c>
    </row>
    <row r="197" spans="1:3" x14ac:dyDescent="0.25">
      <c r="A197" t="s">
        <v>9</v>
      </c>
      <c r="B197">
        <v>2369.03233</v>
      </c>
      <c r="C197" t="s">
        <v>36</v>
      </c>
    </row>
    <row r="198" spans="1:3" x14ac:dyDescent="0.25">
      <c r="A198" t="s">
        <v>9</v>
      </c>
      <c r="B198">
        <v>2040.0001990000001</v>
      </c>
      <c r="C198" t="s">
        <v>36</v>
      </c>
    </row>
    <row r="199" spans="1:3" x14ac:dyDescent="0.25">
      <c r="A199" t="s">
        <v>9</v>
      </c>
      <c r="B199">
        <v>2028.729484</v>
      </c>
      <c r="C199" t="s">
        <v>36</v>
      </c>
    </row>
    <row r="200" spans="1:3" x14ac:dyDescent="0.25">
      <c r="A200" t="s">
        <v>9</v>
      </c>
      <c r="B200">
        <v>2361.4148660000001</v>
      </c>
      <c r="C200" t="s">
        <v>36</v>
      </c>
    </row>
    <row r="201" spans="1:3" x14ac:dyDescent="0.25">
      <c r="A201" t="s">
        <v>9</v>
      </c>
      <c r="B201">
        <v>2116.4266859999998</v>
      </c>
      <c r="C201" t="s">
        <v>36</v>
      </c>
    </row>
    <row r="202" spans="1:3" x14ac:dyDescent="0.25">
      <c r="A202" t="s">
        <v>9</v>
      </c>
      <c r="B202">
        <v>2400.0000570000002</v>
      </c>
      <c r="C202" t="s">
        <v>36</v>
      </c>
    </row>
    <row r="203" spans="1:3" x14ac:dyDescent="0.25">
      <c r="A203" t="s">
        <v>9</v>
      </c>
      <c r="B203">
        <v>2166.3718370000001</v>
      </c>
      <c r="C203" t="s">
        <v>36</v>
      </c>
    </row>
    <row r="204" spans="1:3" x14ac:dyDescent="0.25">
      <c r="A204" t="s">
        <v>9</v>
      </c>
      <c r="B204">
        <v>2045.6826490000001</v>
      </c>
      <c r="C204" t="s">
        <v>36</v>
      </c>
    </row>
    <row r="205" spans="1:3" x14ac:dyDescent="0.25">
      <c r="A205" t="s">
        <v>9</v>
      </c>
      <c r="B205">
        <v>2023.1406999999999</v>
      </c>
      <c r="C205" t="s">
        <v>36</v>
      </c>
    </row>
    <row r="206" spans="1:3" x14ac:dyDescent="0.25">
      <c r="A206" t="s">
        <v>9</v>
      </c>
      <c r="B206">
        <v>2423.7624219999998</v>
      </c>
      <c r="C206" t="s">
        <v>36</v>
      </c>
    </row>
    <row r="207" spans="1:3" x14ac:dyDescent="0.25">
      <c r="A207" t="s">
        <v>10</v>
      </c>
      <c r="B207">
        <v>2134.8838879999998</v>
      </c>
      <c r="C207" t="s">
        <v>36</v>
      </c>
    </row>
    <row r="208" spans="1:3" x14ac:dyDescent="0.25">
      <c r="A208" t="s">
        <v>10</v>
      </c>
      <c r="B208">
        <v>2153.665849</v>
      </c>
      <c r="C208" t="s">
        <v>36</v>
      </c>
    </row>
    <row r="209" spans="1:3" x14ac:dyDescent="0.25">
      <c r="A209" t="s">
        <v>10</v>
      </c>
      <c r="B209">
        <v>2128.6958209999998</v>
      </c>
      <c r="C209" t="s">
        <v>36</v>
      </c>
    </row>
    <row r="210" spans="1:3" x14ac:dyDescent="0.25">
      <c r="A210" t="s">
        <v>10</v>
      </c>
      <c r="B210">
        <v>2141.1080360000001</v>
      </c>
      <c r="C210" t="s">
        <v>36</v>
      </c>
    </row>
    <row r="211" spans="1:3" x14ac:dyDescent="0.25">
      <c r="A211" t="s">
        <v>10</v>
      </c>
      <c r="B211">
        <v>2160.0001579999998</v>
      </c>
      <c r="C211" t="s">
        <v>36</v>
      </c>
    </row>
    <row r="212" spans="1:3" x14ac:dyDescent="0.25">
      <c r="A212" t="s">
        <v>10</v>
      </c>
      <c r="B212">
        <v>2147.3685829999999</v>
      </c>
      <c r="C212" t="s">
        <v>36</v>
      </c>
    </row>
    <row r="213" spans="1:3" x14ac:dyDescent="0.25">
      <c r="A213" t="s">
        <v>10</v>
      </c>
      <c r="B213">
        <v>2122.5435240000002</v>
      </c>
      <c r="C213" t="s">
        <v>36</v>
      </c>
    </row>
    <row r="214" spans="1:3" x14ac:dyDescent="0.25">
      <c r="A214" t="s">
        <v>10</v>
      </c>
      <c r="B214">
        <v>2166.3718370000001</v>
      </c>
      <c r="C214" t="s">
        <v>36</v>
      </c>
    </row>
    <row r="215" spans="1:3" x14ac:dyDescent="0.25">
      <c r="A215" t="s">
        <v>10</v>
      </c>
      <c r="B215">
        <v>2407.8689060000002</v>
      </c>
      <c r="C215" t="s">
        <v>36</v>
      </c>
    </row>
    <row r="216" spans="1:3" x14ac:dyDescent="0.25">
      <c r="A216" t="s">
        <v>10</v>
      </c>
      <c r="B216">
        <v>2116.4266859999998</v>
      </c>
      <c r="C216" t="s">
        <v>36</v>
      </c>
    </row>
    <row r="217" spans="1:3" x14ac:dyDescent="0.25">
      <c r="A217" t="s">
        <v>10</v>
      </c>
      <c r="B217">
        <v>2415.7895229999999</v>
      </c>
      <c r="C217" t="s">
        <v>36</v>
      </c>
    </row>
    <row r="218" spans="1:3" x14ac:dyDescent="0.25">
      <c r="A218" t="s">
        <v>10</v>
      </c>
      <c r="B218">
        <v>2400.0000570000002</v>
      </c>
      <c r="C218" t="s">
        <v>36</v>
      </c>
    </row>
    <row r="219" spans="1:3" x14ac:dyDescent="0.25">
      <c r="A219" t="s">
        <v>10</v>
      </c>
      <c r="B219">
        <v>1420.5032200000001</v>
      </c>
      <c r="C219" t="s">
        <v>36</v>
      </c>
    </row>
    <row r="220" spans="1:3" x14ac:dyDescent="0.25">
      <c r="A220" t="s">
        <v>10</v>
      </c>
      <c r="B220">
        <v>2205.405546</v>
      </c>
      <c r="C220" t="s">
        <v>36</v>
      </c>
    </row>
    <row r="221" spans="1:3" x14ac:dyDescent="0.25">
      <c r="A221" t="s">
        <v>10</v>
      </c>
      <c r="B221">
        <v>2028.729484</v>
      </c>
      <c r="C221" t="s">
        <v>36</v>
      </c>
    </row>
    <row r="222" spans="1:3" x14ac:dyDescent="0.25">
      <c r="A222" t="s">
        <v>10</v>
      </c>
      <c r="B222">
        <v>1462.948523</v>
      </c>
      <c r="C222" t="s">
        <v>36</v>
      </c>
    </row>
    <row r="223" spans="1:3" x14ac:dyDescent="0.25">
      <c r="A223" t="s">
        <v>10</v>
      </c>
      <c r="B223">
        <v>1719.906604</v>
      </c>
      <c r="C223" t="s">
        <v>36</v>
      </c>
    </row>
    <row r="224" spans="1:3" x14ac:dyDescent="0.25">
      <c r="A224" t="s">
        <v>11</v>
      </c>
      <c r="B224">
        <v>2361.4148660000001</v>
      </c>
      <c r="C224" t="s">
        <v>36</v>
      </c>
    </row>
    <row r="225" spans="1:3" x14ac:dyDescent="0.25">
      <c r="A225" t="s">
        <v>11</v>
      </c>
      <c r="B225">
        <v>2353.8462319999999</v>
      </c>
      <c r="C225" t="s">
        <v>36</v>
      </c>
    </row>
    <row r="226" spans="1:3" x14ac:dyDescent="0.25">
      <c r="A226" t="s">
        <v>11</v>
      </c>
      <c r="B226">
        <v>2369.03233</v>
      </c>
      <c r="C226" t="s">
        <v>36</v>
      </c>
    </row>
    <row r="227" spans="1:3" x14ac:dyDescent="0.25">
      <c r="A227" t="s">
        <v>11</v>
      </c>
      <c r="B227">
        <v>2376.6990970000002</v>
      </c>
      <c r="C227" t="s">
        <v>36</v>
      </c>
    </row>
    <row r="228" spans="1:3" x14ac:dyDescent="0.25">
      <c r="A228" t="s">
        <v>11</v>
      </c>
      <c r="B228">
        <v>2309.43406</v>
      </c>
      <c r="C228" t="s">
        <v>36</v>
      </c>
    </row>
    <row r="229" spans="1:3" x14ac:dyDescent="0.25">
      <c r="A229" t="s">
        <v>11</v>
      </c>
      <c r="B229">
        <v>1984.8650809999999</v>
      </c>
      <c r="C229" t="s">
        <v>36</v>
      </c>
    </row>
    <row r="230" spans="1:3" x14ac:dyDescent="0.25">
      <c r="A230" t="s">
        <v>12</v>
      </c>
      <c r="B230">
        <v>2353.8462319999999</v>
      </c>
      <c r="C230" t="s">
        <v>36</v>
      </c>
    </row>
    <row r="231" spans="1:3" x14ac:dyDescent="0.25">
      <c r="A231" t="s">
        <v>12</v>
      </c>
      <c r="B231">
        <v>2361.4148660000001</v>
      </c>
      <c r="C231" t="s">
        <v>36</v>
      </c>
    </row>
    <row r="232" spans="1:3" x14ac:dyDescent="0.25">
      <c r="A232" t="s">
        <v>12</v>
      </c>
      <c r="B232">
        <v>1696.074188</v>
      </c>
      <c r="C232" t="s">
        <v>36</v>
      </c>
    </row>
    <row r="233" spans="1:3" x14ac:dyDescent="0.25">
      <c r="A233" t="s">
        <v>12</v>
      </c>
      <c r="B233">
        <v>2001.09013</v>
      </c>
      <c r="C233" t="s">
        <v>36</v>
      </c>
    </row>
    <row r="234" spans="1:3" x14ac:dyDescent="0.25">
      <c r="A234" t="s">
        <v>12</v>
      </c>
      <c r="B234">
        <v>1692.1661839999999</v>
      </c>
      <c r="C234" t="s">
        <v>36</v>
      </c>
    </row>
    <row r="235" spans="1:3" x14ac:dyDescent="0.25">
      <c r="A235" t="s">
        <v>12</v>
      </c>
      <c r="B235">
        <v>2369.03233</v>
      </c>
      <c r="C235" t="s">
        <v>36</v>
      </c>
    </row>
    <row r="236" spans="1:3" x14ac:dyDescent="0.25">
      <c r="A236" t="s">
        <v>12</v>
      </c>
      <c r="B236">
        <v>1468.800315</v>
      </c>
      <c r="C236" t="s">
        <v>36</v>
      </c>
    </row>
    <row r="237" spans="1:3" x14ac:dyDescent="0.25">
      <c r="A237" t="s">
        <v>12</v>
      </c>
      <c r="B237">
        <v>2346.3259600000001</v>
      </c>
      <c r="C237" t="s">
        <v>36</v>
      </c>
    </row>
    <row r="238" spans="1:3" x14ac:dyDescent="0.25">
      <c r="A238" t="s">
        <v>13</v>
      </c>
      <c r="B238">
        <v>2172.7812180000001</v>
      </c>
      <c r="C238" t="s">
        <v>36</v>
      </c>
    </row>
    <row r="239" spans="1:3" x14ac:dyDescent="0.25">
      <c r="A239" t="s">
        <v>13</v>
      </c>
      <c r="B239">
        <v>2160.0001579999998</v>
      </c>
      <c r="C239" t="s">
        <v>36</v>
      </c>
    </row>
    <row r="240" spans="1:3" x14ac:dyDescent="0.25">
      <c r="A240" t="s">
        <v>13</v>
      </c>
      <c r="B240">
        <v>2166.3718370000001</v>
      </c>
      <c r="C240" t="s">
        <v>36</v>
      </c>
    </row>
    <row r="241" spans="1:3" x14ac:dyDescent="0.25">
      <c r="A241" t="s">
        <v>13</v>
      </c>
      <c r="B241">
        <v>2179.2286370000002</v>
      </c>
      <c r="C241" t="s">
        <v>36</v>
      </c>
    </row>
    <row r="242" spans="1:3" x14ac:dyDescent="0.25">
      <c r="A242" t="s">
        <v>13</v>
      </c>
      <c r="B242">
        <v>2147.3685829999999</v>
      </c>
      <c r="C242" t="s">
        <v>36</v>
      </c>
    </row>
    <row r="243" spans="1:3" x14ac:dyDescent="0.25">
      <c r="A243" t="s">
        <v>13</v>
      </c>
      <c r="B243">
        <v>2153.665849</v>
      </c>
      <c r="C243" t="s">
        <v>36</v>
      </c>
    </row>
    <row r="244" spans="1:3" x14ac:dyDescent="0.25">
      <c r="A244" t="s">
        <v>13</v>
      </c>
      <c r="B244">
        <v>2141.1080360000001</v>
      </c>
      <c r="C244" t="s">
        <v>36</v>
      </c>
    </row>
    <row r="245" spans="1:3" x14ac:dyDescent="0.25">
      <c r="A245" t="s">
        <v>13</v>
      </c>
      <c r="B245">
        <v>2134.8838879999998</v>
      </c>
      <c r="C245" t="s">
        <v>36</v>
      </c>
    </row>
    <row r="246" spans="1:3" x14ac:dyDescent="0.25">
      <c r="A246" t="s">
        <v>13</v>
      </c>
      <c r="B246">
        <v>1669.091199</v>
      </c>
      <c r="C246" t="s">
        <v>36</v>
      </c>
    </row>
    <row r="247" spans="1:3" x14ac:dyDescent="0.25">
      <c r="A247" t="s">
        <v>13</v>
      </c>
      <c r="B247">
        <v>1621.19235</v>
      </c>
      <c r="C247" t="s">
        <v>36</v>
      </c>
    </row>
    <row r="248" spans="1:3" x14ac:dyDescent="0.25">
      <c r="A248" t="s">
        <v>13</v>
      </c>
      <c r="B248">
        <v>2128.6958209999998</v>
      </c>
      <c r="C248" t="s">
        <v>36</v>
      </c>
    </row>
    <row r="249" spans="1:3" x14ac:dyDescent="0.25">
      <c r="A249" t="s">
        <v>13</v>
      </c>
      <c r="B249">
        <v>1661.538753</v>
      </c>
      <c r="C249" t="s">
        <v>36</v>
      </c>
    </row>
    <row r="250" spans="1:3" x14ac:dyDescent="0.25">
      <c r="A250" t="s">
        <v>13</v>
      </c>
      <c r="B250">
        <v>1863.95964</v>
      </c>
      <c r="C250" t="s">
        <v>36</v>
      </c>
    </row>
    <row r="251" spans="1:3" x14ac:dyDescent="0.25">
      <c r="A251" t="s">
        <v>13</v>
      </c>
      <c r="B251">
        <v>1963.6365860000001</v>
      </c>
      <c r="C251" t="s">
        <v>36</v>
      </c>
    </row>
    <row r="252" spans="1:3" x14ac:dyDescent="0.25">
      <c r="A252" t="s">
        <v>13</v>
      </c>
      <c r="B252">
        <v>1624.7790580000001</v>
      </c>
      <c r="C252" t="s">
        <v>36</v>
      </c>
    </row>
    <row r="253" spans="1:3" x14ac:dyDescent="0.25">
      <c r="A253" t="s">
        <v>13</v>
      </c>
      <c r="B253">
        <v>1628.3816710000001</v>
      </c>
      <c r="C253" t="s">
        <v>36</v>
      </c>
    </row>
    <row r="254" spans="1:3" x14ac:dyDescent="0.25">
      <c r="A254" t="s">
        <v>13</v>
      </c>
      <c r="B254">
        <v>2185.714434</v>
      </c>
      <c r="C254" t="s">
        <v>36</v>
      </c>
    </row>
    <row r="255" spans="1:3" x14ac:dyDescent="0.25">
      <c r="A255" t="s">
        <v>13</v>
      </c>
      <c r="B255">
        <v>1958.400224</v>
      </c>
      <c r="C255" t="s">
        <v>36</v>
      </c>
    </row>
    <row r="256" spans="1:3" x14ac:dyDescent="0.25">
      <c r="A256" t="s">
        <v>13</v>
      </c>
      <c r="B256">
        <v>1657.788102</v>
      </c>
      <c r="C256" t="s">
        <v>36</v>
      </c>
    </row>
    <row r="257" spans="1:3" x14ac:dyDescent="0.25">
      <c r="A257" t="s">
        <v>13</v>
      </c>
      <c r="B257">
        <v>2122.5435240000002</v>
      </c>
      <c r="C257" t="s">
        <v>36</v>
      </c>
    </row>
    <row r="258" spans="1:3" x14ac:dyDescent="0.25">
      <c r="A258" t="s">
        <v>13</v>
      </c>
      <c r="B258">
        <v>1632.0002959999999</v>
      </c>
      <c r="C258" t="s">
        <v>36</v>
      </c>
    </row>
    <row r="259" spans="1:3" x14ac:dyDescent="0.25">
      <c r="A259" t="s">
        <v>13</v>
      </c>
      <c r="B259">
        <v>1878.261115</v>
      </c>
      <c r="C259" t="s">
        <v>36</v>
      </c>
    </row>
    <row r="260" spans="1:3" x14ac:dyDescent="0.25">
      <c r="A260" t="s">
        <v>13</v>
      </c>
      <c r="B260">
        <v>1922.5133229999999</v>
      </c>
      <c r="C260" t="s">
        <v>36</v>
      </c>
    </row>
    <row r="261" spans="1:3" x14ac:dyDescent="0.25">
      <c r="A261" t="s">
        <v>13</v>
      </c>
      <c r="B261">
        <v>1635.635039</v>
      </c>
      <c r="C261" t="s">
        <v>36</v>
      </c>
    </row>
    <row r="262" spans="1:3" x14ac:dyDescent="0.25">
      <c r="A262" t="s">
        <v>13</v>
      </c>
      <c r="B262">
        <v>1873.4696349999999</v>
      </c>
      <c r="C262" t="s">
        <v>36</v>
      </c>
    </row>
    <row r="263" spans="1:3" x14ac:dyDescent="0.25">
      <c r="A263" t="s">
        <v>13</v>
      </c>
      <c r="B263">
        <v>1665.306413</v>
      </c>
      <c r="C263" t="s">
        <v>36</v>
      </c>
    </row>
    <row r="264" spans="1:3" x14ac:dyDescent="0.25">
      <c r="A264" t="s">
        <v>13</v>
      </c>
      <c r="B264">
        <v>1907.5327050000001</v>
      </c>
      <c r="C264" t="s">
        <v>36</v>
      </c>
    </row>
    <row r="265" spans="1:3" x14ac:dyDescent="0.25">
      <c r="A265" t="s">
        <v>13</v>
      </c>
      <c r="B265">
        <v>1912.500237</v>
      </c>
      <c r="C265" t="s">
        <v>36</v>
      </c>
    </row>
    <row r="266" spans="1:3" x14ac:dyDescent="0.25">
      <c r="A266" t="s">
        <v>13</v>
      </c>
      <c r="B266">
        <v>1868.702538</v>
      </c>
      <c r="C266" t="s">
        <v>36</v>
      </c>
    </row>
    <row r="267" spans="1:3" x14ac:dyDescent="0.25">
      <c r="A267" t="s">
        <v>13</v>
      </c>
      <c r="B267">
        <v>1728.0002790000001</v>
      </c>
      <c r="C267" t="s">
        <v>36</v>
      </c>
    </row>
    <row r="268" spans="1:3" x14ac:dyDescent="0.25">
      <c r="A268" t="s">
        <v>13</v>
      </c>
      <c r="B268">
        <v>1917.493708</v>
      </c>
      <c r="C268" t="s">
        <v>36</v>
      </c>
    </row>
    <row r="269" spans="1:3" x14ac:dyDescent="0.25">
      <c r="A269" t="s">
        <v>13</v>
      </c>
      <c r="B269">
        <v>1822.3327650000001</v>
      </c>
      <c r="C269" t="s">
        <v>36</v>
      </c>
    </row>
    <row r="270" spans="1:3" x14ac:dyDescent="0.25">
      <c r="A270" t="s">
        <v>13</v>
      </c>
      <c r="B270">
        <v>1817.822042</v>
      </c>
      <c r="C270" t="s">
        <v>36</v>
      </c>
    </row>
    <row r="271" spans="1:3" x14ac:dyDescent="0.25">
      <c r="A271" t="s">
        <v>13</v>
      </c>
      <c r="B271">
        <v>2045.6826490000001</v>
      </c>
      <c r="C271" t="s">
        <v>36</v>
      </c>
    </row>
    <row r="272" spans="1:3" x14ac:dyDescent="0.25">
      <c r="A272" t="s">
        <v>13</v>
      </c>
      <c r="B272">
        <v>2239.0245169999998</v>
      </c>
      <c r="C272" t="s">
        <v>36</v>
      </c>
    </row>
    <row r="273" spans="1:3" x14ac:dyDescent="0.25">
      <c r="A273" t="s">
        <v>13</v>
      </c>
      <c r="B273">
        <v>2051.396843</v>
      </c>
      <c r="C273" t="s">
        <v>36</v>
      </c>
    </row>
    <row r="274" spans="1:3" x14ac:dyDescent="0.25">
      <c r="A274" t="s">
        <v>13</v>
      </c>
      <c r="B274">
        <v>1603.4937500000001</v>
      </c>
      <c r="C274" t="s">
        <v>36</v>
      </c>
    </row>
    <row r="275" spans="1:3" x14ac:dyDescent="0.25">
      <c r="A275" t="s">
        <v>13</v>
      </c>
      <c r="B275">
        <v>1953.1917149999999</v>
      </c>
      <c r="C275" t="s">
        <v>36</v>
      </c>
    </row>
    <row r="276" spans="1:3" x14ac:dyDescent="0.25">
      <c r="A276" t="s">
        <v>13</v>
      </c>
      <c r="B276">
        <v>1428.794093</v>
      </c>
      <c r="C276" t="s">
        <v>36</v>
      </c>
    </row>
    <row r="277" spans="1:3" x14ac:dyDescent="0.25">
      <c r="A277" t="s">
        <v>13</v>
      </c>
      <c r="B277">
        <v>1859.240757</v>
      </c>
      <c r="C277" t="s">
        <v>36</v>
      </c>
    </row>
    <row r="278" spans="1:3" x14ac:dyDescent="0.25">
      <c r="A278" t="s">
        <v>13</v>
      </c>
      <c r="B278">
        <v>2431.7881219999999</v>
      </c>
      <c r="C278" t="s">
        <v>36</v>
      </c>
    </row>
    <row r="279" spans="1:3" x14ac:dyDescent="0.25">
      <c r="A279" t="s">
        <v>13</v>
      </c>
      <c r="B279">
        <v>2506.4846470000002</v>
      </c>
      <c r="C279" t="s">
        <v>36</v>
      </c>
    </row>
    <row r="280" spans="1:3" x14ac:dyDescent="0.25">
      <c r="A280" t="s">
        <v>13</v>
      </c>
      <c r="B280">
        <v>2541.1764579999999</v>
      </c>
      <c r="C280" t="s">
        <v>36</v>
      </c>
    </row>
    <row r="281" spans="1:3" x14ac:dyDescent="0.25">
      <c r="A281" t="s">
        <v>13</v>
      </c>
      <c r="B281">
        <v>1826.8659299999999</v>
      </c>
      <c r="C281" t="s">
        <v>36</v>
      </c>
    </row>
    <row r="282" spans="1:3" x14ac:dyDescent="0.25">
      <c r="A282" t="s">
        <v>13</v>
      </c>
      <c r="B282">
        <v>1672.8932279999999</v>
      </c>
      <c r="C282" t="s">
        <v>36</v>
      </c>
    </row>
    <row r="283" spans="1:3" x14ac:dyDescent="0.25">
      <c r="A283" t="s">
        <v>14</v>
      </c>
      <c r="B283">
        <v>2172.7812180000001</v>
      </c>
      <c r="C283" t="s">
        <v>36</v>
      </c>
    </row>
    <row r="284" spans="1:3" x14ac:dyDescent="0.25">
      <c r="A284" t="s">
        <v>3</v>
      </c>
      <c r="B284">
        <v>1672.8932279999999</v>
      </c>
      <c r="C284" t="s">
        <v>35</v>
      </c>
    </row>
    <row r="285" spans="1:3" x14ac:dyDescent="0.25">
      <c r="A285" t="s">
        <v>3</v>
      </c>
      <c r="B285">
        <v>1669.091199</v>
      </c>
      <c r="C285" t="s">
        <v>35</v>
      </c>
    </row>
    <row r="286" spans="1:3" x14ac:dyDescent="0.25">
      <c r="A286" t="s">
        <v>3</v>
      </c>
      <c r="B286">
        <v>1549.3673960000001</v>
      </c>
      <c r="C286" t="s">
        <v>35</v>
      </c>
    </row>
    <row r="287" spans="1:3" x14ac:dyDescent="0.25">
      <c r="A287" t="s">
        <v>8</v>
      </c>
      <c r="B287">
        <v>2160.0001579999998</v>
      </c>
      <c r="C287" t="s">
        <v>35</v>
      </c>
    </row>
    <row r="288" spans="1:3" x14ac:dyDescent="0.25">
      <c r="A288" t="s">
        <v>8</v>
      </c>
      <c r="B288">
        <v>1511.1114219999999</v>
      </c>
      <c r="C288" t="s">
        <v>35</v>
      </c>
    </row>
    <row r="289" spans="1:3" x14ac:dyDescent="0.25">
      <c r="A289" t="s">
        <v>8</v>
      </c>
      <c r="B289">
        <v>2400.0000570000002</v>
      </c>
      <c r="C289" t="s">
        <v>35</v>
      </c>
    </row>
    <row r="290" spans="1:3" x14ac:dyDescent="0.25">
      <c r="A290" t="s">
        <v>8</v>
      </c>
      <c r="B290">
        <v>1665.306413</v>
      </c>
      <c r="C290" t="s">
        <v>35</v>
      </c>
    </row>
    <row r="291" spans="1:3" x14ac:dyDescent="0.25">
      <c r="A291" t="s">
        <v>8</v>
      </c>
      <c r="B291">
        <v>1661.538753</v>
      </c>
      <c r="C291" t="s">
        <v>35</v>
      </c>
    </row>
    <row r="292" spans="1:3" x14ac:dyDescent="0.25">
      <c r="A292" t="s">
        <v>8</v>
      </c>
      <c r="B292">
        <v>1990.244117</v>
      </c>
      <c r="C292" t="s">
        <v>35</v>
      </c>
    </row>
    <row r="293" spans="1:3" x14ac:dyDescent="0.25">
      <c r="A293" t="s">
        <v>8</v>
      </c>
      <c r="B293">
        <v>1471.743802</v>
      </c>
      <c r="C293" t="s">
        <v>35</v>
      </c>
    </row>
    <row r="294" spans="1:3" x14ac:dyDescent="0.25">
      <c r="A294" t="s">
        <v>9</v>
      </c>
      <c r="B294">
        <v>2134.8838879999998</v>
      </c>
      <c r="C294" t="s">
        <v>35</v>
      </c>
    </row>
    <row r="295" spans="1:3" x14ac:dyDescent="0.25">
      <c r="A295" t="s">
        <v>9</v>
      </c>
      <c r="B295">
        <v>2141.1080360000001</v>
      </c>
      <c r="C295" t="s">
        <v>35</v>
      </c>
    </row>
    <row r="296" spans="1:3" x14ac:dyDescent="0.25">
      <c r="A296" t="s">
        <v>9</v>
      </c>
      <c r="B296">
        <v>2384.415649</v>
      </c>
      <c r="C296" t="s">
        <v>35</v>
      </c>
    </row>
    <row r="297" spans="1:3" x14ac:dyDescent="0.25">
      <c r="A297" t="s">
        <v>9</v>
      </c>
      <c r="B297">
        <v>2034.3492309999999</v>
      </c>
      <c r="C297" t="s">
        <v>35</v>
      </c>
    </row>
    <row r="298" spans="1:3" x14ac:dyDescent="0.25">
      <c r="A298" t="s">
        <v>9</v>
      </c>
      <c r="B298">
        <v>2369.03233</v>
      </c>
      <c r="C298" t="s">
        <v>35</v>
      </c>
    </row>
    <row r="299" spans="1:3" x14ac:dyDescent="0.25">
      <c r="A299" t="s">
        <v>9</v>
      </c>
      <c r="B299">
        <v>2361.4148660000001</v>
      </c>
      <c r="C299" t="s">
        <v>35</v>
      </c>
    </row>
    <row r="300" spans="1:3" x14ac:dyDescent="0.25">
      <c r="A300" t="s">
        <v>9</v>
      </c>
      <c r="B300">
        <v>2166.3718370000001</v>
      </c>
      <c r="C300" t="s">
        <v>35</v>
      </c>
    </row>
    <row r="301" spans="1:3" x14ac:dyDescent="0.25">
      <c r="A301" t="s">
        <v>9</v>
      </c>
      <c r="B301">
        <v>2045.6826490000001</v>
      </c>
      <c r="C301" t="s">
        <v>35</v>
      </c>
    </row>
    <row r="302" spans="1:3" x14ac:dyDescent="0.25">
      <c r="A302" t="s">
        <v>10</v>
      </c>
      <c r="B302">
        <v>2134.8838879999998</v>
      </c>
      <c r="C302" t="s">
        <v>35</v>
      </c>
    </row>
    <row r="303" spans="1:3" x14ac:dyDescent="0.25">
      <c r="A303" t="s">
        <v>10</v>
      </c>
      <c r="B303">
        <v>2153.665849</v>
      </c>
      <c r="C303" t="s">
        <v>35</v>
      </c>
    </row>
    <row r="304" spans="1:3" x14ac:dyDescent="0.25">
      <c r="A304" t="s">
        <v>10</v>
      </c>
      <c r="B304">
        <v>2141.1080360000001</v>
      </c>
      <c r="C304" t="s">
        <v>35</v>
      </c>
    </row>
    <row r="305" spans="1:3" x14ac:dyDescent="0.25">
      <c r="A305" t="s">
        <v>10</v>
      </c>
      <c r="B305">
        <v>2160.0001579999998</v>
      </c>
      <c r="C305" t="s">
        <v>35</v>
      </c>
    </row>
    <row r="306" spans="1:3" x14ac:dyDescent="0.25">
      <c r="A306" t="s">
        <v>10</v>
      </c>
      <c r="B306">
        <v>2166.3718370000001</v>
      </c>
      <c r="C306" t="s">
        <v>35</v>
      </c>
    </row>
    <row r="307" spans="1:3" x14ac:dyDescent="0.25">
      <c r="A307" t="s">
        <v>10</v>
      </c>
      <c r="B307">
        <v>2400.0000570000002</v>
      </c>
      <c r="C307" t="s">
        <v>35</v>
      </c>
    </row>
    <row r="308" spans="1:3" x14ac:dyDescent="0.25">
      <c r="A308" t="s">
        <v>10</v>
      </c>
      <c r="B308">
        <v>1420.5032200000001</v>
      </c>
      <c r="C308" t="s">
        <v>35</v>
      </c>
    </row>
    <row r="309" spans="1:3" x14ac:dyDescent="0.25">
      <c r="A309" t="s">
        <v>10</v>
      </c>
      <c r="B309">
        <v>1462.948523</v>
      </c>
      <c r="C309" t="s">
        <v>35</v>
      </c>
    </row>
    <row r="310" spans="1:3" x14ac:dyDescent="0.25">
      <c r="A310" t="s">
        <v>11</v>
      </c>
      <c r="B310">
        <v>2361.4148660000001</v>
      </c>
      <c r="C310" t="s">
        <v>35</v>
      </c>
    </row>
    <row r="311" spans="1:3" x14ac:dyDescent="0.25">
      <c r="A311" t="s">
        <v>11</v>
      </c>
      <c r="B311">
        <v>2353.8462319999999</v>
      </c>
      <c r="C311" t="s">
        <v>35</v>
      </c>
    </row>
    <row r="312" spans="1:3" x14ac:dyDescent="0.25">
      <c r="A312" t="s">
        <v>11</v>
      </c>
      <c r="B312">
        <v>2369.03233</v>
      </c>
      <c r="C312" t="s">
        <v>35</v>
      </c>
    </row>
    <row r="313" spans="1:3" x14ac:dyDescent="0.25">
      <c r="A313" t="s">
        <v>12</v>
      </c>
      <c r="B313">
        <v>2353.8462319999999</v>
      </c>
      <c r="C313" t="s">
        <v>35</v>
      </c>
    </row>
    <row r="314" spans="1:3" x14ac:dyDescent="0.25">
      <c r="A314" t="s">
        <v>12</v>
      </c>
      <c r="B314">
        <v>2361.4148660000001</v>
      </c>
      <c r="C314" t="s">
        <v>35</v>
      </c>
    </row>
    <row r="315" spans="1:3" x14ac:dyDescent="0.25">
      <c r="A315" t="s">
        <v>12</v>
      </c>
      <c r="B315">
        <v>1696.074188</v>
      </c>
      <c r="C315" t="s">
        <v>35</v>
      </c>
    </row>
    <row r="316" spans="1:3" x14ac:dyDescent="0.25">
      <c r="A316" t="s">
        <v>12</v>
      </c>
      <c r="B316">
        <v>2001.09013</v>
      </c>
      <c r="C316" t="s">
        <v>35</v>
      </c>
    </row>
    <row r="317" spans="1:3" x14ac:dyDescent="0.25">
      <c r="A317" t="s">
        <v>13</v>
      </c>
      <c r="B317">
        <v>2172.7812180000001</v>
      </c>
      <c r="C317" t="s">
        <v>35</v>
      </c>
    </row>
    <row r="318" spans="1:3" x14ac:dyDescent="0.25">
      <c r="A318" t="s">
        <v>13</v>
      </c>
      <c r="B318">
        <v>1963.6365860000001</v>
      </c>
      <c r="C318" t="s">
        <v>35</v>
      </c>
    </row>
    <row r="319" spans="1:3" x14ac:dyDescent="0.25">
      <c r="A319" t="s">
        <v>13</v>
      </c>
      <c r="B319">
        <v>1624.7790580000001</v>
      </c>
      <c r="C319" t="s">
        <v>35</v>
      </c>
    </row>
    <row r="320" spans="1:3" x14ac:dyDescent="0.25">
      <c r="A320" t="s">
        <v>13</v>
      </c>
      <c r="B320">
        <v>2122.5435240000002</v>
      </c>
      <c r="C320" t="s">
        <v>35</v>
      </c>
    </row>
    <row r="321" spans="1:3" x14ac:dyDescent="0.25">
      <c r="A321" t="s">
        <v>14</v>
      </c>
      <c r="B321">
        <v>2172.7812180000001</v>
      </c>
      <c r="C321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897E-74F8-4B62-AD81-734319951733}">
  <dimension ref="A2:K258"/>
  <sheetViews>
    <sheetView topLeftCell="A43" workbookViewId="0">
      <selection activeCell="E260" sqref="E260"/>
    </sheetView>
  </sheetViews>
  <sheetFormatPr defaultRowHeight="15" x14ac:dyDescent="0.25"/>
  <sheetData>
    <row r="2" spans="1:11" x14ac:dyDescent="0.25">
      <c r="A2">
        <v>2549.9999819999998</v>
      </c>
      <c r="B2">
        <v>4</v>
      </c>
      <c r="C2" t="e">
        <f>VLOOKUP(B2,A2:B258,1,FALSE)</f>
        <v>#N/A</v>
      </c>
    </row>
    <row r="3" spans="1:11" x14ac:dyDescent="0.25">
      <c r="A3">
        <v>2541.1764579999999</v>
      </c>
      <c r="B3">
        <v>5</v>
      </c>
    </row>
    <row r="4" spans="1:11" x14ac:dyDescent="0.25">
      <c r="A4">
        <v>2532.4137850000002</v>
      </c>
      <c r="B4">
        <v>6</v>
      </c>
    </row>
    <row r="5" spans="1:11" x14ac:dyDescent="0.25">
      <c r="A5">
        <v>2523.7113359999998</v>
      </c>
      <c r="B5">
        <v>7</v>
      </c>
      <c r="J5">
        <v>155</v>
      </c>
      <c r="K5" t="e">
        <f>VLOOKUP(J5,A2:B258,1,FALSE)</f>
        <v>#N/A</v>
      </c>
    </row>
    <row r="6" spans="1:11" x14ac:dyDescent="0.25">
      <c r="A6">
        <v>2515.0684940000001</v>
      </c>
      <c r="B6">
        <v>8</v>
      </c>
      <c r="J6">
        <v>156</v>
      </c>
    </row>
    <row r="7" spans="1:11" x14ac:dyDescent="0.25">
      <c r="A7">
        <v>2506.4846470000002</v>
      </c>
      <c r="B7">
        <v>9</v>
      </c>
      <c r="J7">
        <v>202</v>
      </c>
    </row>
    <row r="8" spans="1:11" x14ac:dyDescent="0.25">
      <c r="A8">
        <v>2497.9591930000001</v>
      </c>
      <c r="B8">
        <v>10</v>
      </c>
      <c r="J8">
        <v>7</v>
      </c>
    </row>
    <row r="9" spans="1:11" x14ac:dyDescent="0.25">
      <c r="A9">
        <v>2489.4915390000001</v>
      </c>
      <c r="B9">
        <v>11</v>
      </c>
    </row>
    <row r="10" spans="1:11" x14ac:dyDescent="0.25">
      <c r="A10">
        <v>2481.081099</v>
      </c>
      <c r="B10">
        <v>12</v>
      </c>
    </row>
    <row r="11" spans="1:11" x14ac:dyDescent="0.25">
      <c r="A11">
        <v>2472.7272950000001</v>
      </c>
      <c r="B11">
        <v>13</v>
      </c>
    </row>
    <row r="12" spans="1:11" x14ac:dyDescent="0.25">
      <c r="A12">
        <v>2464.429556</v>
      </c>
      <c r="B12">
        <v>14</v>
      </c>
    </row>
    <row r="13" spans="1:11" x14ac:dyDescent="0.25">
      <c r="A13">
        <v>2456.1873209999999</v>
      </c>
      <c r="B13">
        <v>15</v>
      </c>
    </row>
    <row r="14" spans="1:11" x14ac:dyDescent="0.25">
      <c r="A14">
        <v>2448.0000340000001</v>
      </c>
      <c r="B14">
        <v>16</v>
      </c>
    </row>
    <row r="15" spans="1:11" x14ac:dyDescent="0.25">
      <c r="A15">
        <v>2439.8671479999998</v>
      </c>
      <c r="B15">
        <v>17</v>
      </c>
    </row>
    <row r="16" spans="1:11" x14ac:dyDescent="0.25">
      <c r="A16">
        <v>2431.7881219999999</v>
      </c>
      <c r="B16">
        <v>18</v>
      </c>
    </row>
    <row r="17" spans="1:2" x14ac:dyDescent="0.25">
      <c r="A17">
        <v>2423.7624219999998</v>
      </c>
      <c r="B17">
        <v>19</v>
      </c>
    </row>
    <row r="18" spans="1:2" x14ac:dyDescent="0.25">
      <c r="A18">
        <v>2415.7895229999999</v>
      </c>
      <c r="B18">
        <v>20</v>
      </c>
    </row>
    <row r="19" spans="1:2" x14ac:dyDescent="0.25">
      <c r="A19">
        <v>2407.8689060000002</v>
      </c>
      <c r="B19">
        <v>21</v>
      </c>
    </row>
    <row r="20" spans="1:2" x14ac:dyDescent="0.25">
      <c r="A20">
        <v>2400.0000570000002</v>
      </c>
      <c r="B20">
        <v>22</v>
      </c>
    </row>
    <row r="21" spans="1:2" x14ac:dyDescent="0.25">
      <c r="A21">
        <v>2392.1824710000001</v>
      </c>
      <c r="B21">
        <v>23</v>
      </c>
    </row>
    <row r="22" spans="1:2" x14ac:dyDescent="0.25">
      <c r="A22">
        <v>2384.415649</v>
      </c>
      <c r="B22">
        <v>24</v>
      </c>
    </row>
    <row r="23" spans="1:2" x14ac:dyDescent="0.25">
      <c r="A23">
        <v>2376.6990970000002</v>
      </c>
      <c r="B23">
        <v>25</v>
      </c>
    </row>
    <row r="24" spans="1:2" x14ac:dyDescent="0.25">
      <c r="A24">
        <v>2369.03233</v>
      </c>
      <c r="B24">
        <v>26</v>
      </c>
    </row>
    <row r="25" spans="1:2" x14ac:dyDescent="0.25">
      <c r="A25">
        <v>2361.4148660000001</v>
      </c>
      <c r="B25">
        <v>27</v>
      </c>
    </row>
    <row r="26" spans="1:2" x14ac:dyDescent="0.25">
      <c r="A26">
        <v>2353.8462319999999</v>
      </c>
      <c r="B26">
        <v>28</v>
      </c>
    </row>
    <row r="27" spans="1:2" x14ac:dyDescent="0.25">
      <c r="A27">
        <v>2346.3259600000001</v>
      </c>
      <c r="B27">
        <v>29</v>
      </c>
    </row>
    <row r="28" spans="1:2" x14ac:dyDescent="0.25">
      <c r="A28">
        <v>2338.8535879999999</v>
      </c>
      <c r="B28">
        <v>30</v>
      </c>
    </row>
    <row r="29" spans="1:2" x14ac:dyDescent="0.25">
      <c r="A29">
        <v>2331.42866</v>
      </c>
      <c r="B29">
        <v>31</v>
      </c>
    </row>
    <row r="30" spans="1:2" x14ac:dyDescent="0.25">
      <c r="A30">
        <v>2324.0507240000002</v>
      </c>
      <c r="B30">
        <v>32</v>
      </c>
    </row>
    <row r="31" spans="1:2" x14ac:dyDescent="0.25">
      <c r="A31">
        <v>2316.7193379999999</v>
      </c>
      <c r="B31">
        <v>33</v>
      </c>
    </row>
    <row r="32" spans="1:2" x14ac:dyDescent="0.25">
      <c r="A32">
        <v>2309.43406</v>
      </c>
      <c r="B32">
        <v>34</v>
      </c>
    </row>
    <row r="33" spans="1:2" x14ac:dyDescent="0.25">
      <c r="A33">
        <v>2302.1944579999999</v>
      </c>
      <c r="B33">
        <v>35</v>
      </c>
    </row>
    <row r="34" spans="1:2" x14ac:dyDescent="0.25">
      <c r="A34">
        <v>2295.0001040000002</v>
      </c>
      <c r="B34">
        <v>36</v>
      </c>
    </row>
    <row r="35" spans="1:2" x14ac:dyDescent="0.25">
      <c r="A35">
        <v>2287.8505740000001</v>
      </c>
      <c r="B35">
        <v>37</v>
      </c>
    </row>
    <row r="36" spans="1:2" x14ac:dyDescent="0.25">
      <c r="A36">
        <v>2280.7454520000001</v>
      </c>
      <c r="B36">
        <v>38</v>
      </c>
    </row>
    <row r="37" spans="1:2" x14ac:dyDescent="0.25">
      <c r="A37">
        <v>2273.6843239999998</v>
      </c>
      <c r="B37">
        <v>39</v>
      </c>
    </row>
    <row r="38" spans="1:2" x14ac:dyDescent="0.25">
      <c r="A38">
        <v>2266.6667830000001</v>
      </c>
      <c r="B38">
        <v>40</v>
      </c>
    </row>
    <row r="39" spans="1:2" x14ac:dyDescent="0.25">
      <c r="A39">
        <v>2259.692427</v>
      </c>
      <c r="B39">
        <v>41</v>
      </c>
    </row>
    <row r="40" spans="1:2" x14ac:dyDescent="0.25">
      <c r="A40">
        <v>2252.7608580000001</v>
      </c>
      <c r="B40">
        <v>42</v>
      </c>
    </row>
    <row r="41" spans="1:2" x14ac:dyDescent="0.25">
      <c r="A41">
        <v>2245.8716840000002</v>
      </c>
      <c r="B41">
        <v>43</v>
      </c>
    </row>
    <row r="42" spans="1:2" x14ac:dyDescent="0.25">
      <c r="A42">
        <v>2239.0245169999998</v>
      </c>
      <c r="B42">
        <v>44</v>
      </c>
    </row>
    <row r="43" spans="1:2" x14ac:dyDescent="0.25">
      <c r="A43">
        <v>2232.2189749999998</v>
      </c>
      <c r="B43">
        <v>45</v>
      </c>
    </row>
    <row r="44" spans="1:2" x14ac:dyDescent="0.25">
      <c r="A44">
        <v>2225.4546780000001</v>
      </c>
      <c r="B44">
        <v>46</v>
      </c>
    </row>
    <row r="45" spans="1:2" x14ac:dyDescent="0.25">
      <c r="A45">
        <v>2218.7312529999999</v>
      </c>
      <c r="B45">
        <v>47</v>
      </c>
    </row>
    <row r="46" spans="1:2" x14ac:dyDescent="0.25">
      <c r="A46">
        <v>2212.048331</v>
      </c>
      <c r="B46">
        <v>48</v>
      </c>
    </row>
    <row r="47" spans="1:2" x14ac:dyDescent="0.25">
      <c r="A47">
        <v>2205.405546</v>
      </c>
      <c r="B47">
        <v>49</v>
      </c>
    </row>
    <row r="48" spans="1:2" x14ac:dyDescent="0.25">
      <c r="A48">
        <v>2198.8025379999999</v>
      </c>
      <c r="B48">
        <v>50</v>
      </c>
    </row>
    <row r="49" spans="1:2" x14ac:dyDescent="0.25">
      <c r="A49">
        <v>2192.2389520000002</v>
      </c>
      <c r="B49">
        <v>51</v>
      </c>
    </row>
    <row r="50" spans="1:2" x14ac:dyDescent="0.25">
      <c r="A50">
        <v>2185.714434</v>
      </c>
      <c r="B50">
        <v>52</v>
      </c>
    </row>
    <row r="51" spans="1:2" x14ac:dyDescent="0.25">
      <c r="A51">
        <v>2179.2286370000002</v>
      </c>
      <c r="B51">
        <v>53</v>
      </c>
    </row>
    <row r="52" spans="1:2" x14ac:dyDescent="0.25">
      <c r="A52">
        <v>2172.7812180000001</v>
      </c>
      <c r="B52">
        <v>54</v>
      </c>
    </row>
    <row r="53" spans="1:2" x14ac:dyDescent="0.25">
      <c r="A53">
        <v>2166.3718370000001</v>
      </c>
      <c r="B53">
        <v>55</v>
      </c>
    </row>
    <row r="54" spans="1:2" x14ac:dyDescent="0.25">
      <c r="A54">
        <v>2160.0001579999998</v>
      </c>
      <c r="B54">
        <v>56</v>
      </c>
    </row>
    <row r="55" spans="1:2" x14ac:dyDescent="0.25">
      <c r="A55">
        <v>2153.665849</v>
      </c>
      <c r="B55">
        <v>57</v>
      </c>
    </row>
    <row r="56" spans="1:2" x14ac:dyDescent="0.25">
      <c r="A56">
        <v>2147.3685829999999</v>
      </c>
      <c r="B56">
        <v>58</v>
      </c>
    </row>
    <row r="57" spans="1:2" x14ac:dyDescent="0.25">
      <c r="A57">
        <v>2141.1080360000001</v>
      </c>
      <c r="B57">
        <v>59</v>
      </c>
    </row>
    <row r="58" spans="1:2" x14ac:dyDescent="0.25">
      <c r="A58">
        <v>2134.8838879999998</v>
      </c>
      <c r="B58">
        <v>60</v>
      </c>
    </row>
    <row r="59" spans="1:2" x14ac:dyDescent="0.25">
      <c r="A59">
        <v>2128.6958209999998</v>
      </c>
      <c r="B59">
        <v>61</v>
      </c>
    </row>
    <row r="60" spans="1:2" x14ac:dyDescent="0.25">
      <c r="A60">
        <v>2122.5435240000002</v>
      </c>
      <c r="B60">
        <v>62</v>
      </c>
    </row>
    <row r="61" spans="1:2" x14ac:dyDescent="0.25">
      <c r="A61">
        <v>2116.4266859999998</v>
      </c>
      <c r="B61">
        <v>63</v>
      </c>
    </row>
    <row r="62" spans="1:2" x14ac:dyDescent="0.25">
      <c r="A62">
        <v>2110.3450029999999</v>
      </c>
      <c r="B62">
        <v>64</v>
      </c>
    </row>
    <row r="63" spans="1:2" x14ac:dyDescent="0.25">
      <c r="A63">
        <v>2104.2981719999998</v>
      </c>
      <c r="B63">
        <v>65</v>
      </c>
    </row>
    <row r="64" spans="1:2" x14ac:dyDescent="0.25">
      <c r="A64">
        <v>2098.2858940000001</v>
      </c>
      <c r="B64">
        <v>66</v>
      </c>
    </row>
    <row r="65" spans="1:2" x14ac:dyDescent="0.25">
      <c r="A65">
        <v>2092.3078740000001</v>
      </c>
      <c r="B65">
        <v>67</v>
      </c>
    </row>
    <row r="66" spans="1:2" x14ac:dyDescent="0.25">
      <c r="A66">
        <v>2086.36382</v>
      </c>
      <c r="B66">
        <v>68</v>
      </c>
    </row>
    <row r="67" spans="1:2" x14ac:dyDescent="0.25">
      <c r="A67">
        <v>2080.4534440000002</v>
      </c>
      <c r="B67">
        <v>69</v>
      </c>
    </row>
    <row r="68" spans="1:2" x14ac:dyDescent="0.25">
      <c r="A68">
        <v>2074.5764589999999</v>
      </c>
      <c r="B68">
        <v>70</v>
      </c>
    </row>
    <row r="69" spans="1:2" x14ac:dyDescent="0.25">
      <c r="A69">
        <v>2068.7325839999999</v>
      </c>
      <c r="B69">
        <v>71</v>
      </c>
    </row>
    <row r="70" spans="1:2" x14ac:dyDescent="0.25">
      <c r="A70">
        <v>2062.9215399999998</v>
      </c>
      <c r="B70">
        <v>72</v>
      </c>
    </row>
    <row r="71" spans="1:2" x14ac:dyDescent="0.25">
      <c r="A71">
        <v>2057.143051</v>
      </c>
      <c r="B71">
        <v>73</v>
      </c>
    </row>
    <row r="72" spans="1:2" x14ac:dyDescent="0.25">
      <c r="A72">
        <v>2051.396843</v>
      </c>
      <c r="B72">
        <v>74</v>
      </c>
    </row>
    <row r="73" spans="1:2" x14ac:dyDescent="0.25">
      <c r="A73">
        <v>2045.6826490000001</v>
      </c>
      <c r="B73">
        <v>75</v>
      </c>
    </row>
    <row r="74" spans="1:2" x14ac:dyDescent="0.25">
      <c r="A74">
        <v>2040.0001990000001</v>
      </c>
      <c r="B74">
        <v>76</v>
      </c>
    </row>
    <row r="75" spans="1:2" x14ac:dyDescent="0.25">
      <c r="A75">
        <v>2034.3492309999999</v>
      </c>
      <c r="B75">
        <v>77</v>
      </c>
    </row>
    <row r="76" spans="1:2" x14ac:dyDescent="0.25">
      <c r="A76">
        <v>2028.729484</v>
      </c>
      <c r="B76">
        <v>78</v>
      </c>
    </row>
    <row r="77" spans="1:2" x14ac:dyDescent="0.25">
      <c r="A77">
        <v>2023.1406999999999</v>
      </c>
      <c r="B77">
        <v>79</v>
      </c>
    </row>
    <row r="78" spans="1:2" x14ac:dyDescent="0.25">
      <c r="A78">
        <v>2017.5826239999999</v>
      </c>
      <c r="B78">
        <v>80</v>
      </c>
    </row>
    <row r="79" spans="1:2" x14ac:dyDescent="0.25">
      <c r="A79">
        <v>2012.0550020000001</v>
      </c>
      <c r="B79">
        <v>81</v>
      </c>
    </row>
    <row r="80" spans="1:2" x14ac:dyDescent="0.25">
      <c r="A80">
        <v>2006.557587</v>
      </c>
      <c r="B80">
        <v>82</v>
      </c>
    </row>
    <row r="81" spans="1:2" x14ac:dyDescent="0.25">
      <c r="A81">
        <v>2001.09013</v>
      </c>
      <c r="B81">
        <v>83</v>
      </c>
    </row>
    <row r="82" spans="1:2" x14ac:dyDescent="0.25">
      <c r="A82">
        <v>1995.6523870000001</v>
      </c>
      <c r="B82">
        <v>84</v>
      </c>
    </row>
    <row r="83" spans="1:2" x14ac:dyDescent="0.25">
      <c r="A83">
        <v>1990.244117</v>
      </c>
      <c r="B83">
        <v>85</v>
      </c>
    </row>
    <row r="84" spans="1:2" x14ac:dyDescent="0.25">
      <c r="A84">
        <v>1984.8650809999999</v>
      </c>
      <c r="B84">
        <v>86</v>
      </c>
    </row>
    <row r="85" spans="1:2" x14ac:dyDescent="0.25">
      <c r="A85">
        <v>1979.5150430000001</v>
      </c>
      <c r="B85">
        <v>87</v>
      </c>
    </row>
    <row r="86" spans="1:2" x14ac:dyDescent="0.25">
      <c r="A86">
        <v>1974.1937680000001</v>
      </c>
      <c r="B86">
        <v>88</v>
      </c>
    </row>
    <row r="87" spans="1:2" x14ac:dyDescent="0.25">
      <c r="A87">
        <v>1968.9010249999999</v>
      </c>
      <c r="B87">
        <v>89</v>
      </c>
    </row>
    <row r="88" spans="1:2" x14ac:dyDescent="0.25">
      <c r="A88">
        <v>1963.6365860000001</v>
      </c>
      <c r="B88">
        <v>90</v>
      </c>
    </row>
    <row r="89" spans="1:2" x14ac:dyDescent="0.25">
      <c r="A89">
        <v>1958.400224</v>
      </c>
      <c r="B89">
        <v>91</v>
      </c>
    </row>
    <row r="90" spans="1:2" x14ac:dyDescent="0.25">
      <c r="A90">
        <v>1953.1917149999999</v>
      </c>
      <c r="B90">
        <v>92</v>
      </c>
    </row>
    <row r="91" spans="1:2" x14ac:dyDescent="0.25">
      <c r="A91">
        <v>1948.010837</v>
      </c>
      <c r="B91">
        <v>93</v>
      </c>
    </row>
    <row r="92" spans="1:2" x14ac:dyDescent="0.25">
      <c r="A92">
        <v>1942.8573710000001</v>
      </c>
      <c r="B92">
        <v>94</v>
      </c>
    </row>
    <row r="93" spans="1:2" x14ac:dyDescent="0.25">
      <c r="A93">
        <v>1937.7311</v>
      </c>
      <c r="B93">
        <v>95</v>
      </c>
    </row>
    <row r="94" spans="1:2" x14ac:dyDescent="0.25">
      <c r="A94">
        <v>1932.6318100000001</v>
      </c>
      <c r="B94">
        <v>96</v>
      </c>
    </row>
    <row r="95" spans="1:2" x14ac:dyDescent="0.25">
      <c r="A95">
        <v>1927.5592879999999</v>
      </c>
      <c r="B95">
        <v>97</v>
      </c>
    </row>
    <row r="96" spans="1:2" x14ac:dyDescent="0.25">
      <c r="A96">
        <v>1922.5133229999999</v>
      </c>
      <c r="B96">
        <v>98</v>
      </c>
    </row>
    <row r="97" spans="1:2" x14ac:dyDescent="0.25">
      <c r="A97">
        <v>1917.493708</v>
      </c>
      <c r="B97">
        <v>99</v>
      </c>
    </row>
    <row r="98" spans="1:2" x14ac:dyDescent="0.25">
      <c r="A98">
        <v>1912.500237</v>
      </c>
      <c r="B98">
        <v>100</v>
      </c>
    </row>
    <row r="99" spans="1:2" x14ac:dyDescent="0.25">
      <c r="A99">
        <v>1907.5327050000001</v>
      </c>
      <c r="B99">
        <v>101</v>
      </c>
    </row>
    <row r="100" spans="1:2" x14ac:dyDescent="0.25">
      <c r="A100">
        <v>1902.590913</v>
      </c>
      <c r="B100">
        <v>102</v>
      </c>
    </row>
    <row r="101" spans="1:2" x14ac:dyDescent="0.25">
      <c r="A101">
        <v>1897.674659</v>
      </c>
      <c r="B101">
        <v>103</v>
      </c>
    </row>
    <row r="102" spans="1:2" x14ac:dyDescent="0.25">
      <c r="A102">
        <v>1892.7837469999999</v>
      </c>
      <c r="B102">
        <v>104</v>
      </c>
    </row>
    <row r="103" spans="1:2" x14ac:dyDescent="0.25">
      <c r="A103">
        <v>1887.9179810000001</v>
      </c>
      <c r="B103">
        <v>105</v>
      </c>
    </row>
    <row r="104" spans="1:2" x14ac:dyDescent="0.25">
      <c r="A104">
        <v>1883.0771669999999</v>
      </c>
      <c r="B104">
        <v>106</v>
      </c>
    </row>
    <row r="105" spans="1:2" x14ac:dyDescent="0.25">
      <c r="A105">
        <v>1878.261115</v>
      </c>
      <c r="B105">
        <v>107</v>
      </c>
    </row>
    <row r="106" spans="1:2" x14ac:dyDescent="0.25">
      <c r="A106">
        <v>1873.4696349999999</v>
      </c>
      <c r="B106">
        <v>108</v>
      </c>
    </row>
    <row r="107" spans="1:2" x14ac:dyDescent="0.25">
      <c r="A107">
        <v>1868.702538</v>
      </c>
      <c r="B107">
        <v>109</v>
      </c>
    </row>
    <row r="108" spans="1:2" x14ac:dyDescent="0.25">
      <c r="A108">
        <v>1863.95964</v>
      </c>
      <c r="B108">
        <v>110</v>
      </c>
    </row>
    <row r="109" spans="1:2" x14ac:dyDescent="0.25">
      <c r="A109">
        <v>1859.240757</v>
      </c>
      <c r="B109">
        <v>111</v>
      </c>
    </row>
    <row r="110" spans="1:2" x14ac:dyDescent="0.25">
      <c r="A110">
        <v>1854.5457060000001</v>
      </c>
      <c r="B110">
        <v>112</v>
      </c>
    </row>
    <row r="111" spans="1:2" x14ac:dyDescent="0.25">
      <c r="A111">
        <v>1849.8743079999999</v>
      </c>
      <c r="B111">
        <v>113</v>
      </c>
    </row>
    <row r="112" spans="1:2" x14ac:dyDescent="0.25">
      <c r="A112">
        <v>1845.2263840000001</v>
      </c>
      <c r="B112">
        <v>114</v>
      </c>
    </row>
    <row r="113" spans="1:2" x14ac:dyDescent="0.25">
      <c r="A113">
        <v>1840.6017589999999</v>
      </c>
      <c r="B113">
        <v>115</v>
      </c>
    </row>
    <row r="114" spans="1:2" x14ac:dyDescent="0.25">
      <c r="A114">
        <v>1836.000256</v>
      </c>
      <c r="B114">
        <v>116</v>
      </c>
    </row>
    <row r="115" spans="1:2" x14ac:dyDescent="0.25">
      <c r="A115">
        <v>1831.421703</v>
      </c>
      <c r="B115">
        <v>117</v>
      </c>
    </row>
    <row r="116" spans="1:2" x14ac:dyDescent="0.25">
      <c r="A116">
        <v>1826.8659299999999</v>
      </c>
      <c r="B116">
        <v>118</v>
      </c>
    </row>
    <row r="117" spans="1:2" x14ac:dyDescent="0.25">
      <c r="A117">
        <v>1822.3327650000001</v>
      </c>
      <c r="B117">
        <v>119</v>
      </c>
    </row>
    <row r="118" spans="1:2" x14ac:dyDescent="0.25">
      <c r="A118">
        <v>1817.822042</v>
      </c>
      <c r="B118">
        <v>120</v>
      </c>
    </row>
    <row r="119" spans="1:2" x14ac:dyDescent="0.25">
      <c r="A119">
        <v>1813.3335950000001</v>
      </c>
      <c r="B119">
        <v>121</v>
      </c>
    </row>
    <row r="120" spans="1:2" x14ac:dyDescent="0.25">
      <c r="A120">
        <v>1808.8672570000001</v>
      </c>
      <c r="B120">
        <v>122</v>
      </c>
    </row>
    <row r="121" spans="1:2" x14ac:dyDescent="0.25">
      <c r="A121">
        <v>1804.4228680000001</v>
      </c>
      <c r="B121">
        <v>123</v>
      </c>
    </row>
    <row r="122" spans="1:2" x14ac:dyDescent="0.25">
      <c r="A122">
        <v>1800.000264</v>
      </c>
      <c r="B122">
        <v>124</v>
      </c>
    </row>
    <row r="123" spans="1:2" x14ac:dyDescent="0.25">
      <c r="A123">
        <v>1795.599287</v>
      </c>
      <c r="B123">
        <v>125</v>
      </c>
    </row>
    <row r="124" spans="1:2" x14ac:dyDescent="0.25">
      <c r="A124">
        <v>1791.2197779999999</v>
      </c>
      <c r="B124">
        <v>126</v>
      </c>
    </row>
    <row r="125" spans="1:2" x14ac:dyDescent="0.25">
      <c r="A125">
        <v>1786.8615809999999</v>
      </c>
      <c r="B125">
        <v>127</v>
      </c>
    </row>
    <row r="126" spans="1:2" x14ac:dyDescent="0.25">
      <c r="A126">
        <v>1782.5245399999999</v>
      </c>
      <c r="B126">
        <v>128</v>
      </c>
    </row>
    <row r="127" spans="1:2" x14ac:dyDescent="0.25">
      <c r="A127">
        <v>1778.2085010000001</v>
      </c>
      <c r="B127">
        <v>129</v>
      </c>
    </row>
    <row r="128" spans="1:2" x14ac:dyDescent="0.25">
      <c r="A128">
        <v>1773.913313</v>
      </c>
      <c r="B128">
        <v>130</v>
      </c>
    </row>
    <row r="129" spans="1:2" x14ac:dyDescent="0.25">
      <c r="A129">
        <v>1769.638825</v>
      </c>
      <c r="B129">
        <v>131</v>
      </c>
    </row>
    <row r="130" spans="1:2" x14ac:dyDescent="0.25">
      <c r="A130">
        <v>1765.3848869999999</v>
      </c>
      <c r="B130">
        <v>132</v>
      </c>
    </row>
    <row r="131" spans="1:2" x14ac:dyDescent="0.25">
      <c r="A131">
        <v>1761.1513520000001</v>
      </c>
      <c r="B131">
        <v>133</v>
      </c>
    </row>
    <row r="132" spans="1:2" x14ac:dyDescent="0.25">
      <c r="A132">
        <v>1756.9380719999999</v>
      </c>
      <c r="B132">
        <v>134</v>
      </c>
    </row>
    <row r="133" spans="1:2" x14ac:dyDescent="0.25">
      <c r="A133">
        <v>1752.7449039999999</v>
      </c>
      <c r="B133">
        <v>135</v>
      </c>
    </row>
    <row r="134" spans="1:2" x14ac:dyDescent="0.25">
      <c r="A134">
        <v>1748.571704</v>
      </c>
      <c r="B134">
        <v>136</v>
      </c>
    </row>
    <row r="135" spans="1:2" x14ac:dyDescent="0.25">
      <c r="A135">
        <v>1744.418328</v>
      </c>
      <c r="B135">
        <v>137</v>
      </c>
    </row>
    <row r="136" spans="1:2" x14ac:dyDescent="0.25">
      <c r="A136">
        <v>1740.284637</v>
      </c>
      <c r="B136">
        <v>138</v>
      </c>
    </row>
    <row r="137" spans="1:2" x14ac:dyDescent="0.25">
      <c r="A137">
        <v>1736.17049</v>
      </c>
      <c r="B137">
        <v>139</v>
      </c>
    </row>
    <row r="138" spans="1:2" x14ac:dyDescent="0.25">
      <c r="A138">
        <v>1732.07575</v>
      </c>
      <c r="B138">
        <v>140</v>
      </c>
    </row>
    <row r="139" spans="1:2" x14ac:dyDescent="0.25">
      <c r="A139">
        <v>1728.0002790000001</v>
      </c>
      <c r="B139">
        <v>141</v>
      </c>
    </row>
    <row r="140" spans="1:2" x14ac:dyDescent="0.25">
      <c r="A140">
        <v>1723.9439420000001</v>
      </c>
      <c r="B140">
        <v>142</v>
      </c>
    </row>
    <row r="141" spans="1:2" x14ac:dyDescent="0.25">
      <c r="A141">
        <v>1719.906604</v>
      </c>
      <c r="B141">
        <v>143</v>
      </c>
    </row>
    <row r="142" spans="1:2" x14ac:dyDescent="0.25">
      <c r="A142">
        <v>1715.888132</v>
      </c>
      <c r="B142">
        <v>144</v>
      </c>
    </row>
    <row r="143" spans="1:2" x14ac:dyDescent="0.25">
      <c r="A143">
        <v>1711.8883940000001</v>
      </c>
      <c r="B143">
        <v>145</v>
      </c>
    </row>
    <row r="144" spans="1:2" x14ac:dyDescent="0.25">
      <c r="A144">
        <v>1707.90726</v>
      </c>
      <c r="B144">
        <v>146</v>
      </c>
    </row>
    <row r="145" spans="1:2" x14ac:dyDescent="0.25">
      <c r="A145">
        <v>1703.9445989999999</v>
      </c>
      <c r="B145">
        <v>147</v>
      </c>
    </row>
    <row r="146" spans="1:2" x14ac:dyDescent="0.25">
      <c r="A146">
        <v>1700.000284</v>
      </c>
      <c r="B146">
        <v>148</v>
      </c>
    </row>
    <row r="147" spans="1:2" x14ac:dyDescent="0.25">
      <c r="A147">
        <v>1696.074188</v>
      </c>
      <c r="B147">
        <v>149</v>
      </c>
    </row>
    <row r="148" spans="1:2" x14ac:dyDescent="0.25">
      <c r="A148">
        <v>1692.1661839999999</v>
      </c>
      <c r="B148">
        <v>150</v>
      </c>
    </row>
    <row r="149" spans="1:2" x14ac:dyDescent="0.25">
      <c r="A149">
        <v>1688.276149</v>
      </c>
      <c r="B149">
        <v>151</v>
      </c>
    </row>
    <row r="150" spans="1:2" x14ac:dyDescent="0.25">
      <c r="A150">
        <v>1684.403957</v>
      </c>
      <c r="B150">
        <v>152</v>
      </c>
    </row>
    <row r="151" spans="1:2" x14ac:dyDescent="0.25">
      <c r="A151">
        <v>1680.549487</v>
      </c>
      <c r="B151">
        <v>153</v>
      </c>
    </row>
    <row r="152" spans="1:2" x14ac:dyDescent="0.25">
      <c r="A152">
        <v>1676.7126169999999</v>
      </c>
      <c r="B152">
        <v>154</v>
      </c>
    </row>
    <row r="153" spans="1:2" x14ac:dyDescent="0.25">
      <c r="A153">
        <v>1672.8932279999999</v>
      </c>
      <c r="B153">
        <v>155</v>
      </c>
    </row>
    <row r="154" spans="1:2" x14ac:dyDescent="0.25">
      <c r="A154">
        <v>1669.091199</v>
      </c>
      <c r="B154">
        <v>156</v>
      </c>
    </row>
    <row r="155" spans="1:2" x14ac:dyDescent="0.25">
      <c r="A155">
        <v>1665.306413</v>
      </c>
      <c r="B155">
        <v>157</v>
      </c>
    </row>
    <row r="156" spans="1:2" x14ac:dyDescent="0.25">
      <c r="A156">
        <v>1661.538753</v>
      </c>
      <c r="B156">
        <v>158</v>
      </c>
    </row>
    <row r="157" spans="1:2" x14ac:dyDescent="0.25">
      <c r="A157">
        <v>1657.788102</v>
      </c>
      <c r="B157">
        <v>159</v>
      </c>
    </row>
    <row r="158" spans="1:2" x14ac:dyDescent="0.25">
      <c r="A158">
        <v>1654.0543459999999</v>
      </c>
      <c r="B158">
        <v>160</v>
      </c>
    </row>
    <row r="159" spans="1:2" x14ac:dyDescent="0.25">
      <c r="A159">
        <v>1650.3373710000001</v>
      </c>
      <c r="B159">
        <v>161</v>
      </c>
    </row>
    <row r="160" spans="1:2" x14ac:dyDescent="0.25">
      <c r="A160">
        <v>1646.6370649999999</v>
      </c>
      <c r="B160">
        <v>162</v>
      </c>
    </row>
    <row r="161" spans="1:2" x14ac:dyDescent="0.25">
      <c r="A161">
        <v>1642.9533140000001</v>
      </c>
      <c r="B161">
        <v>163</v>
      </c>
    </row>
    <row r="162" spans="1:2" x14ac:dyDescent="0.25">
      <c r="A162">
        <v>1639.2860089999999</v>
      </c>
      <c r="B162">
        <v>164</v>
      </c>
    </row>
    <row r="163" spans="1:2" x14ac:dyDescent="0.25">
      <c r="A163">
        <v>1635.635039</v>
      </c>
      <c r="B163">
        <v>165</v>
      </c>
    </row>
    <row r="164" spans="1:2" x14ac:dyDescent="0.25">
      <c r="A164">
        <v>1632.0002959999999</v>
      </c>
      <c r="B164">
        <v>166</v>
      </c>
    </row>
    <row r="165" spans="1:2" x14ac:dyDescent="0.25">
      <c r="A165">
        <v>1628.3816710000001</v>
      </c>
      <c r="B165">
        <v>167</v>
      </c>
    </row>
    <row r="166" spans="1:2" x14ac:dyDescent="0.25">
      <c r="A166">
        <v>1624.7790580000001</v>
      </c>
      <c r="B166">
        <v>168</v>
      </c>
    </row>
    <row r="167" spans="1:2" x14ac:dyDescent="0.25">
      <c r="A167">
        <v>1621.19235</v>
      </c>
      <c r="B167">
        <v>169</v>
      </c>
    </row>
    <row r="168" spans="1:2" x14ac:dyDescent="0.25">
      <c r="A168">
        <v>1617.621443</v>
      </c>
      <c r="B168">
        <v>170</v>
      </c>
    </row>
    <row r="169" spans="1:2" x14ac:dyDescent="0.25">
      <c r="A169">
        <v>1614.0662319999999</v>
      </c>
      <c r="B169">
        <v>171</v>
      </c>
    </row>
    <row r="170" spans="1:2" x14ac:dyDescent="0.25">
      <c r="A170">
        <v>1610.526615</v>
      </c>
      <c r="B170">
        <v>172</v>
      </c>
    </row>
    <row r="171" spans="1:2" x14ac:dyDescent="0.25">
      <c r="A171">
        <v>1607.0024880000001</v>
      </c>
      <c r="B171">
        <v>173</v>
      </c>
    </row>
    <row r="172" spans="1:2" x14ac:dyDescent="0.25">
      <c r="A172">
        <v>1603.4937500000001</v>
      </c>
      <c r="B172">
        <v>174</v>
      </c>
    </row>
    <row r="173" spans="1:2" x14ac:dyDescent="0.25">
      <c r="A173">
        <v>1600.0002999999999</v>
      </c>
      <c r="B173">
        <v>175</v>
      </c>
    </row>
    <row r="174" spans="1:2" x14ac:dyDescent="0.25">
      <c r="A174">
        <v>1596.5220400000001</v>
      </c>
      <c r="B174">
        <v>176</v>
      </c>
    </row>
    <row r="175" spans="1:2" x14ac:dyDescent="0.25">
      <c r="A175">
        <v>1593.0588700000001</v>
      </c>
      <c r="B175">
        <v>177</v>
      </c>
    </row>
    <row r="176" spans="1:2" x14ac:dyDescent="0.25">
      <c r="A176">
        <v>1589.6106910000001</v>
      </c>
      <c r="B176">
        <v>178</v>
      </c>
    </row>
    <row r="177" spans="1:2" x14ac:dyDescent="0.25">
      <c r="A177">
        <v>1586.177408</v>
      </c>
      <c r="B177">
        <v>179</v>
      </c>
    </row>
    <row r="178" spans="1:2" x14ac:dyDescent="0.25">
      <c r="A178">
        <v>1582.7589230000001</v>
      </c>
      <c r="B178">
        <v>180</v>
      </c>
    </row>
    <row r="179" spans="1:2" x14ac:dyDescent="0.25">
      <c r="A179">
        <v>1579.3551419999999</v>
      </c>
      <c r="B179">
        <v>181</v>
      </c>
    </row>
    <row r="180" spans="1:2" x14ac:dyDescent="0.25">
      <c r="A180">
        <v>1575.9659690000001</v>
      </c>
      <c r="B180">
        <v>182</v>
      </c>
    </row>
    <row r="181" spans="1:2" x14ac:dyDescent="0.25">
      <c r="A181">
        <v>1572.5913109999999</v>
      </c>
      <c r="B181">
        <v>183</v>
      </c>
    </row>
    <row r="182" spans="1:2" x14ac:dyDescent="0.25">
      <c r="A182">
        <v>1569.231074</v>
      </c>
      <c r="B182">
        <v>184</v>
      </c>
    </row>
    <row r="183" spans="1:2" x14ac:dyDescent="0.25">
      <c r="A183">
        <v>1565.885166</v>
      </c>
      <c r="B183">
        <v>185</v>
      </c>
    </row>
    <row r="184" spans="1:2" x14ac:dyDescent="0.25">
      <c r="A184">
        <v>1562.5534970000001</v>
      </c>
      <c r="B184">
        <v>186</v>
      </c>
    </row>
    <row r="185" spans="1:2" x14ac:dyDescent="0.25">
      <c r="A185">
        <v>1559.2359750000001</v>
      </c>
      <c r="B185">
        <v>187</v>
      </c>
    </row>
    <row r="186" spans="1:2" x14ac:dyDescent="0.25">
      <c r="A186">
        <v>1555.9325100000001</v>
      </c>
      <c r="B186">
        <v>188</v>
      </c>
    </row>
    <row r="187" spans="1:2" x14ac:dyDescent="0.25">
      <c r="A187">
        <v>1552.6430130000001</v>
      </c>
      <c r="B187">
        <v>189</v>
      </c>
    </row>
    <row r="188" spans="1:2" x14ac:dyDescent="0.25">
      <c r="A188">
        <v>1549.3673960000001</v>
      </c>
      <c r="B188">
        <v>190</v>
      </c>
    </row>
    <row r="189" spans="1:2" x14ac:dyDescent="0.25">
      <c r="A189">
        <v>1546.1055710000001</v>
      </c>
      <c r="B189">
        <v>191</v>
      </c>
    </row>
    <row r="190" spans="1:2" x14ac:dyDescent="0.25">
      <c r="A190">
        <v>1542.8574510000001</v>
      </c>
      <c r="B190">
        <v>192</v>
      </c>
    </row>
    <row r="191" spans="1:2" x14ac:dyDescent="0.25">
      <c r="A191">
        <v>1539.6229499999999</v>
      </c>
      <c r="B191">
        <v>193</v>
      </c>
    </row>
    <row r="192" spans="1:2" x14ac:dyDescent="0.25">
      <c r="A192">
        <v>1536.4019820000001</v>
      </c>
      <c r="B192">
        <v>194</v>
      </c>
    </row>
    <row r="193" spans="1:2" x14ac:dyDescent="0.25">
      <c r="A193">
        <v>1533.194463</v>
      </c>
      <c r="B193">
        <v>195</v>
      </c>
    </row>
    <row r="194" spans="1:2" x14ac:dyDescent="0.25">
      <c r="A194">
        <v>1530.000309</v>
      </c>
      <c r="B194">
        <v>196</v>
      </c>
    </row>
    <row r="195" spans="1:2" x14ac:dyDescent="0.25">
      <c r="A195">
        <v>1526.819436</v>
      </c>
      <c r="B195">
        <v>197</v>
      </c>
    </row>
    <row r="196" spans="1:2" x14ac:dyDescent="0.25">
      <c r="A196">
        <v>1523.651762</v>
      </c>
      <c r="B196">
        <v>198</v>
      </c>
    </row>
    <row r="197" spans="1:2" x14ac:dyDescent="0.25">
      <c r="A197">
        <v>1520.4972049999999</v>
      </c>
      <c r="B197">
        <v>199</v>
      </c>
    </row>
    <row r="198" spans="1:2" x14ac:dyDescent="0.25">
      <c r="A198">
        <v>1517.3556819999999</v>
      </c>
      <c r="B198">
        <v>200</v>
      </c>
    </row>
    <row r="199" spans="1:2" x14ac:dyDescent="0.25">
      <c r="A199">
        <v>1514.2271149999999</v>
      </c>
      <c r="B199">
        <v>201</v>
      </c>
    </row>
    <row r="200" spans="1:2" x14ac:dyDescent="0.25">
      <c r="A200">
        <v>1511.1114219999999</v>
      </c>
      <c r="B200">
        <v>202</v>
      </c>
    </row>
    <row r="201" spans="1:2" x14ac:dyDescent="0.25">
      <c r="A201">
        <v>1508.008525</v>
      </c>
      <c r="B201">
        <v>203</v>
      </c>
    </row>
    <row r="202" spans="1:2" x14ac:dyDescent="0.25">
      <c r="A202">
        <v>1504.918345</v>
      </c>
      <c r="B202">
        <v>204</v>
      </c>
    </row>
    <row r="203" spans="1:2" x14ac:dyDescent="0.25">
      <c r="A203">
        <v>1501.8408030000001</v>
      </c>
      <c r="B203">
        <v>205</v>
      </c>
    </row>
    <row r="204" spans="1:2" x14ac:dyDescent="0.25">
      <c r="A204">
        <v>1498.7758229999999</v>
      </c>
      <c r="B204">
        <v>206</v>
      </c>
    </row>
    <row r="205" spans="1:2" x14ac:dyDescent="0.25">
      <c r="A205">
        <v>1495.7233269999999</v>
      </c>
      <c r="B205">
        <v>207</v>
      </c>
    </row>
    <row r="206" spans="1:2" x14ac:dyDescent="0.25">
      <c r="A206">
        <v>1492.6832400000001</v>
      </c>
      <c r="B206">
        <v>208</v>
      </c>
    </row>
    <row r="207" spans="1:2" x14ac:dyDescent="0.25">
      <c r="A207">
        <v>1489.6554860000001</v>
      </c>
      <c r="B207">
        <v>209</v>
      </c>
    </row>
    <row r="208" spans="1:2" x14ac:dyDescent="0.25">
      <c r="A208">
        <v>1486.6399899999999</v>
      </c>
      <c r="B208">
        <v>210</v>
      </c>
    </row>
    <row r="209" spans="1:2" x14ac:dyDescent="0.25">
      <c r="A209">
        <v>1483.6366780000001</v>
      </c>
      <c r="B209">
        <v>211</v>
      </c>
    </row>
    <row r="210" spans="1:2" x14ac:dyDescent="0.25">
      <c r="A210">
        <v>1480.645475</v>
      </c>
      <c r="B210">
        <v>212</v>
      </c>
    </row>
    <row r="211" spans="1:2" x14ac:dyDescent="0.25">
      <c r="A211">
        <v>1477.6663100000001</v>
      </c>
      <c r="B211">
        <v>213</v>
      </c>
    </row>
    <row r="212" spans="1:2" x14ac:dyDescent="0.25">
      <c r="A212">
        <v>1474.69911</v>
      </c>
      <c r="B212">
        <v>214</v>
      </c>
    </row>
    <row r="213" spans="1:2" x14ac:dyDescent="0.25">
      <c r="A213">
        <v>1471.743802</v>
      </c>
      <c r="B213">
        <v>215</v>
      </c>
    </row>
    <row r="214" spans="1:2" x14ac:dyDescent="0.25">
      <c r="A214">
        <v>1468.800315</v>
      </c>
      <c r="B214">
        <v>216</v>
      </c>
    </row>
    <row r="215" spans="1:2" x14ac:dyDescent="0.25">
      <c r="A215">
        <v>1465.868579</v>
      </c>
      <c r="B215">
        <v>217</v>
      </c>
    </row>
    <row r="216" spans="1:2" x14ac:dyDescent="0.25">
      <c r="A216">
        <v>1462.948523</v>
      </c>
      <c r="B216">
        <v>218</v>
      </c>
    </row>
    <row r="217" spans="1:2" x14ac:dyDescent="0.25">
      <c r="A217">
        <v>1460.0400770000001</v>
      </c>
      <c r="B217">
        <v>219</v>
      </c>
    </row>
    <row r="218" spans="1:2" x14ac:dyDescent="0.25">
      <c r="A218">
        <v>1457.1431729999999</v>
      </c>
      <c r="B218">
        <v>220</v>
      </c>
    </row>
    <row r="219" spans="1:2" x14ac:dyDescent="0.25">
      <c r="A219">
        <v>1454.257742</v>
      </c>
      <c r="B219">
        <v>221</v>
      </c>
    </row>
    <row r="220" spans="1:2" x14ac:dyDescent="0.25">
      <c r="A220">
        <v>1451.383716</v>
      </c>
      <c r="B220">
        <v>222</v>
      </c>
    </row>
    <row r="221" spans="1:2" x14ac:dyDescent="0.25">
      <c r="A221">
        <v>1448.521027</v>
      </c>
      <c r="B221">
        <v>223</v>
      </c>
    </row>
    <row r="222" spans="1:2" x14ac:dyDescent="0.25">
      <c r="A222">
        <v>1445.6696079999999</v>
      </c>
      <c r="B222">
        <v>224</v>
      </c>
    </row>
    <row r="223" spans="1:2" x14ac:dyDescent="0.25">
      <c r="A223">
        <v>1442.8293940000001</v>
      </c>
      <c r="B223">
        <v>225</v>
      </c>
    </row>
    <row r="224" spans="1:2" x14ac:dyDescent="0.25">
      <c r="A224">
        <v>1440.0003180000001</v>
      </c>
      <c r="B224">
        <v>226</v>
      </c>
    </row>
    <row r="225" spans="1:2" x14ac:dyDescent="0.25">
      <c r="A225">
        <v>1437.1823139999999</v>
      </c>
      <c r="B225">
        <v>227</v>
      </c>
    </row>
    <row r="226" spans="1:2" x14ac:dyDescent="0.25">
      <c r="A226">
        <v>1434.3753180000001</v>
      </c>
      <c r="B226">
        <v>228</v>
      </c>
    </row>
    <row r="227" spans="1:2" x14ac:dyDescent="0.25">
      <c r="A227">
        <v>1431.579266</v>
      </c>
      <c r="B227">
        <v>229</v>
      </c>
    </row>
    <row r="228" spans="1:2" x14ac:dyDescent="0.25">
      <c r="A228">
        <v>1428.794093</v>
      </c>
      <c r="B228">
        <v>230</v>
      </c>
    </row>
    <row r="229" spans="1:2" x14ac:dyDescent="0.25">
      <c r="A229">
        <v>1426.019736</v>
      </c>
      <c r="B229">
        <v>231</v>
      </c>
    </row>
    <row r="230" spans="1:2" x14ac:dyDescent="0.25">
      <c r="A230">
        <v>1423.2561330000001</v>
      </c>
      <c r="B230">
        <v>232</v>
      </c>
    </row>
    <row r="231" spans="1:2" x14ac:dyDescent="0.25">
      <c r="A231">
        <v>1420.5032200000001</v>
      </c>
      <c r="B231">
        <v>233</v>
      </c>
    </row>
    <row r="232" spans="1:2" x14ac:dyDescent="0.25">
      <c r="A232">
        <v>1417.760937</v>
      </c>
      <c r="B232">
        <v>234</v>
      </c>
    </row>
    <row r="233" spans="1:2" x14ac:dyDescent="0.25">
      <c r="A233">
        <v>1415.029221</v>
      </c>
      <c r="B233">
        <v>235</v>
      </c>
    </row>
    <row r="234" spans="1:2" x14ac:dyDescent="0.25">
      <c r="A234">
        <v>1412.308012</v>
      </c>
      <c r="B234">
        <v>236</v>
      </c>
    </row>
    <row r="235" spans="1:2" x14ac:dyDescent="0.25">
      <c r="A235">
        <v>1409.5972489999999</v>
      </c>
      <c r="B235">
        <v>237</v>
      </c>
    </row>
    <row r="236" spans="1:2" x14ac:dyDescent="0.25">
      <c r="A236">
        <v>1406.896872</v>
      </c>
      <c r="B236">
        <v>238</v>
      </c>
    </row>
    <row r="237" spans="1:2" x14ac:dyDescent="0.25">
      <c r="A237">
        <v>1404.206821</v>
      </c>
      <c r="B237">
        <v>239</v>
      </c>
    </row>
    <row r="238" spans="1:2" x14ac:dyDescent="0.25">
      <c r="A238">
        <v>1401.5270379999999</v>
      </c>
      <c r="B238">
        <v>240</v>
      </c>
    </row>
    <row r="239" spans="1:2" x14ac:dyDescent="0.25">
      <c r="A239">
        <v>1398.8574630000001</v>
      </c>
      <c r="B239">
        <v>241</v>
      </c>
    </row>
    <row r="240" spans="1:2" x14ac:dyDescent="0.25">
      <c r="A240">
        <v>1396.1980390000001</v>
      </c>
      <c r="B240">
        <v>242</v>
      </c>
    </row>
    <row r="241" spans="1:2" x14ac:dyDescent="0.25">
      <c r="A241">
        <v>1393.548708</v>
      </c>
      <c r="B241">
        <v>243</v>
      </c>
    </row>
    <row r="242" spans="1:2" x14ac:dyDescent="0.25">
      <c r="A242">
        <v>1390.909412</v>
      </c>
      <c r="B242">
        <v>244</v>
      </c>
    </row>
    <row r="243" spans="1:2" x14ac:dyDescent="0.25">
      <c r="A243">
        <v>1388.280094</v>
      </c>
      <c r="B243">
        <v>245</v>
      </c>
    </row>
    <row r="244" spans="1:2" x14ac:dyDescent="0.25">
      <c r="A244">
        <v>1385.6606979999999</v>
      </c>
      <c r="B244">
        <v>246</v>
      </c>
    </row>
    <row r="245" spans="1:2" x14ac:dyDescent="0.25">
      <c r="A245">
        <v>1383.0511690000001</v>
      </c>
      <c r="B245">
        <v>247</v>
      </c>
    </row>
    <row r="246" spans="1:2" x14ac:dyDescent="0.25">
      <c r="A246">
        <v>1380.4514489999999</v>
      </c>
      <c r="B246">
        <v>248</v>
      </c>
    </row>
    <row r="247" spans="1:2" x14ac:dyDescent="0.25">
      <c r="A247">
        <v>1377.8614849999999</v>
      </c>
      <c r="B247">
        <v>249</v>
      </c>
    </row>
    <row r="248" spans="1:2" x14ac:dyDescent="0.25">
      <c r="A248">
        <v>1375.2812200000001</v>
      </c>
      <c r="B248">
        <v>250</v>
      </c>
    </row>
    <row r="249" spans="1:2" x14ac:dyDescent="0.25">
      <c r="A249">
        <v>1372.7106020000001</v>
      </c>
      <c r="B249">
        <v>251</v>
      </c>
    </row>
    <row r="250" spans="1:2" x14ac:dyDescent="0.25">
      <c r="A250">
        <v>1370.149576</v>
      </c>
      <c r="B250">
        <v>252</v>
      </c>
    </row>
    <row r="251" spans="1:2" x14ac:dyDescent="0.25">
      <c r="A251">
        <v>1367.5980870000001</v>
      </c>
      <c r="B251">
        <v>253</v>
      </c>
    </row>
    <row r="252" spans="1:2" x14ac:dyDescent="0.25">
      <c r="A252">
        <v>1365.0560840000001</v>
      </c>
      <c r="B252">
        <v>254</v>
      </c>
    </row>
    <row r="253" spans="1:2" x14ac:dyDescent="0.25">
      <c r="A253">
        <v>1362.5235130000001</v>
      </c>
      <c r="B253">
        <v>255</v>
      </c>
    </row>
    <row r="254" spans="1:2" x14ac:dyDescent="0.25">
      <c r="A254">
        <v>1360.0003220000001</v>
      </c>
      <c r="B254">
        <v>256</v>
      </c>
    </row>
    <row r="255" spans="1:2" x14ac:dyDescent="0.25">
      <c r="A255">
        <v>1357.486459</v>
      </c>
      <c r="B255">
        <v>257</v>
      </c>
    </row>
    <row r="256" spans="1:2" x14ac:dyDescent="0.25">
      <c r="A256">
        <v>1354.9818720000001</v>
      </c>
      <c r="B256">
        <v>258</v>
      </c>
    </row>
    <row r="257" spans="1:2" x14ac:dyDescent="0.25">
      <c r="A257">
        <v>1352.48651</v>
      </c>
      <c r="B257">
        <v>259</v>
      </c>
    </row>
    <row r="258" spans="1:2" x14ac:dyDescent="0.25">
      <c r="A258">
        <v>1350.000323</v>
      </c>
      <c r="B258">
        <v>260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8B9A-6DE5-4A27-8274-C30F5F84F7AF}">
  <dimension ref="A2:B258"/>
  <sheetViews>
    <sheetView topLeftCell="A225" workbookViewId="0">
      <selection activeCell="A2" sqref="A2:A258"/>
    </sheetView>
  </sheetViews>
  <sheetFormatPr defaultRowHeight="15" x14ac:dyDescent="0.25"/>
  <sheetData>
    <row r="2" spans="1:2" x14ac:dyDescent="0.25">
      <c r="A2">
        <v>4</v>
      </c>
      <c r="B2">
        <v>2549.9999819999998</v>
      </c>
    </row>
    <row r="3" spans="1:2" x14ac:dyDescent="0.25">
      <c r="A3">
        <v>5</v>
      </c>
      <c r="B3">
        <v>2541.1764579999999</v>
      </c>
    </row>
    <row r="4" spans="1:2" x14ac:dyDescent="0.25">
      <c r="A4">
        <v>6</v>
      </c>
      <c r="B4">
        <v>2532.4137850000002</v>
      </c>
    </row>
    <row r="5" spans="1:2" x14ac:dyDescent="0.25">
      <c r="A5">
        <v>7</v>
      </c>
      <c r="B5">
        <v>2523.7113359999998</v>
      </c>
    </row>
    <row r="6" spans="1:2" x14ac:dyDescent="0.25">
      <c r="A6">
        <v>8</v>
      </c>
      <c r="B6">
        <v>2515.0684940000001</v>
      </c>
    </row>
    <row r="7" spans="1:2" x14ac:dyDescent="0.25">
      <c r="A7">
        <v>9</v>
      </c>
      <c r="B7">
        <v>2506.4846470000002</v>
      </c>
    </row>
    <row r="8" spans="1:2" x14ac:dyDescent="0.25">
      <c r="A8">
        <v>10</v>
      </c>
      <c r="B8">
        <v>2497.9591930000001</v>
      </c>
    </row>
    <row r="9" spans="1:2" x14ac:dyDescent="0.25">
      <c r="A9">
        <v>11</v>
      </c>
      <c r="B9">
        <v>2489.4915390000001</v>
      </c>
    </row>
    <row r="10" spans="1:2" x14ac:dyDescent="0.25">
      <c r="A10">
        <v>12</v>
      </c>
      <c r="B10">
        <v>2481.081099</v>
      </c>
    </row>
    <row r="11" spans="1:2" x14ac:dyDescent="0.25">
      <c r="A11">
        <v>13</v>
      </c>
      <c r="B11">
        <v>2472.7272950000001</v>
      </c>
    </row>
    <row r="12" spans="1:2" x14ac:dyDescent="0.25">
      <c r="A12">
        <v>14</v>
      </c>
      <c r="B12">
        <v>2464.429556</v>
      </c>
    </row>
    <row r="13" spans="1:2" x14ac:dyDescent="0.25">
      <c r="A13">
        <v>15</v>
      </c>
      <c r="B13">
        <v>2456.1873209999999</v>
      </c>
    </row>
    <row r="14" spans="1:2" x14ac:dyDescent="0.25">
      <c r="A14">
        <v>16</v>
      </c>
      <c r="B14">
        <v>2448.0000340000001</v>
      </c>
    </row>
    <row r="15" spans="1:2" x14ac:dyDescent="0.25">
      <c r="A15">
        <v>17</v>
      </c>
      <c r="B15">
        <v>2439.8671479999998</v>
      </c>
    </row>
    <row r="16" spans="1:2" x14ac:dyDescent="0.25">
      <c r="A16">
        <v>18</v>
      </c>
      <c r="B16">
        <v>2431.7881219999999</v>
      </c>
    </row>
    <row r="17" spans="1:2" x14ac:dyDescent="0.25">
      <c r="A17">
        <v>19</v>
      </c>
      <c r="B17">
        <v>2423.7624219999998</v>
      </c>
    </row>
    <row r="18" spans="1:2" x14ac:dyDescent="0.25">
      <c r="A18">
        <v>20</v>
      </c>
      <c r="B18">
        <v>2415.7895229999999</v>
      </c>
    </row>
    <row r="19" spans="1:2" x14ac:dyDescent="0.25">
      <c r="A19">
        <v>21</v>
      </c>
      <c r="B19">
        <v>2407.8689060000002</v>
      </c>
    </row>
    <row r="20" spans="1:2" x14ac:dyDescent="0.25">
      <c r="A20">
        <v>22</v>
      </c>
      <c r="B20">
        <v>2400.0000570000002</v>
      </c>
    </row>
    <row r="21" spans="1:2" x14ac:dyDescent="0.25">
      <c r="A21">
        <v>23</v>
      </c>
      <c r="B21">
        <v>2392.1824710000001</v>
      </c>
    </row>
    <row r="22" spans="1:2" x14ac:dyDescent="0.25">
      <c r="A22">
        <v>24</v>
      </c>
      <c r="B22">
        <v>2384.415649</v>
      </c>
    </row>
    <row r="23" spans="1:2" x14ac:dyDescent="0.25">
      <c r="A23">
        <v>25</v>
      </c>
      <c r="B23">
        <v>2376.6990970000002</v>
      </c>
    </row>
    <row r="24" spans="1:2" x14ac:dyDescent="0.25">
      <c r="A24">
        <v>26</v>
      </c>
      <c r="B24">
        <v>2369.03233</v>
      </c>
    </row>
    <row r="25" spans="1:2" x14ac:dyDescent="0.25">
      <c r="A25">
        <v>27</v>
      </c>
      <c r="B25">
        <v>2361.4148660000001</v>
      </c>
    </row>
    <row r="26" spans="1:2" x14ac:dyDescent="0.25">
      <c r="A26">
        <v>28</v>
      </c>
      <c r="B26">
        <v>2353.8462319999999</v>
      </c>
    </row>
    <row r="27" spans="1:2" x14ac:dyDescent="0.25">
      <c r="A27">
        <v>29</v>
      </c>
      <c r="B27">
        <v>2346.3259600000001</v>
      </c>
    </row>
    <row r="28" spans="1:2" x14ac:dyDescent="0.25">
      <c r="A28">
        <v>30</v>
      </c>
      <c r="B28">
        <v>2338.8535879999999</v>
      </c>
    </row>
    <row r="29" spans="1:2" x14ac:dyDescent="0.25">
      <c r="A29">
        <v>31</v>
      </c>
      <c r="B29">
        <v>2331.42866</v>
      </c>
    </row>
    <row r="30" spans="1:2" x14ac:dyDescent="0.25">
      <c r="A30">
        <v>32</v>
      </c>
      <c r="B30">
        <v>2324.0507240000002</v>
      </c>
    </row>
    <row r="31" spans="1:2" x14ac:dyDescent="0.25">
      <c r="A31">
        <v>33</v>
      </c>
      <c r="B31">
        <v>2316.7193379999999</v>
      </c>
    </row>
    <row r="32" spans="1:2" x14ac:dyDescent="0.25">
      <c r="A32">
        <v>34</v>
      </c>
      <c r="B32">
        <v>2309.43406</v>
      </c>
    </row>
    <row r="33" spans="1:2" x14ac:dyDescent="0.25">
      <c r="A33">
        <v>35</v>
      </c>
      <c r="B33">
        <v>2302.1944579999999</v>
      </c>
    </row>
    <row r="34" spans="1:2" x14ac:dyDescent="0.25">
      <c r="A34">
        <v>36</v>
      </c>
      <c r="B34">
        <v>2295.0001040000002</v>
      </c>
    </row>
    <row r="35" spans="1:2" x14ac:dyDescent="0.25">
      <c r="A35">
        <v>37</v>
      </c>
      <c r="B35">
        <v>2287.8505740000001</v>
      </c>
    </row>
    <row r="36" spans="1:2" x14ac:dyDescent="0.25">
      <c r="A36">
        <v>38</v>
      </c>
      <c r="B36">
        <v>2280.7454520000001</v>
      </c>
    </row>
    <row r="37" spans="1:2" x14ac:dyDescent="0.25">
      <c r="A37">
        <v>39</v>
      </c>
      <c r="B37">
        <v>2273.6843239999998</v>
      </c>
    </row>
    <row r="38" spans="1:2" x14ac:dyDescent="0.25">
      <c r="A38">
        <v>40</v>
      </c>
      <c r="B38">
        <v>2266.6667830000001</v>
      </c>
    </row>
    <row r="39" spans="1:2" x14ac:dyDescent="0.25">
      <c r="A39">
        <v>41</v>
      </c>
      <c r="B39">
        <v>2259.692427</v>
      </c>
    </row>
    <row r="40" spans="1:2" x14ac:dyDescent="0.25">
      <c r="A40">
        <v>42</v>
      </c>
      <c r="B40">
        <v>2252.7608580000001</v>
      </c>
    </row>
    <row r="41" spans="1:2" x14ac:dyDescent="0.25">
      <c r="A41">
        <v>43</v>
      </c>
      <c r="B41">
        <v>2245.8716840000002</v>
      </c>
    </row>
    <row r="42" spans="1:2" x14ac:dyDescent="0.25">
      <c r="A42">
        <v>44</v>
      </c>
      <c r="B42">
        <v>2239.0245169999998</v>
      </c>
    </row>
    <row r="43" spans="1:2" x14ac:dyDescent="0.25">
      <c r="A43">
        <v>45</v>
      </c>
      <c r="B43">
        <v>2232.2189749999998</v>
      </c>
    </row>
    <row r="44" spans="1:2" x14ac:dyDescent="0.25">
      <c r="A44">
        <v>46</v>
      </c>
      <c r="B44">
        <v>2225.4546780000001</v>
      </c>
    </row>
    <row r="45" spans="1:2" x14ac:dyDescent="0.25">
      <c r="A45">
        <v>47</v>
      </c>
      <c r="B45">
        <v>2218.7312529999999</v>
      </c>
    </row>
    <row r="46" spans="1:2" x14ac:dyDescent="0.25">
      <c r="A46">
        <v>48</v>
      </c>
      <c r="B46">
        <v>2212.048331</v>
      </c>
    </row>
    <row r="47" spans="1:2" x14ac:dyDescent="0.25">
      <c r="A47">
        <v>49</v>
      </c>
      <c r="B47">
        <v>2205.405546</v>
      </c>
    </row>
    <row r="48" spans="1:2" x14ac:dyDescent="0.25">
      <c r="A48">
        <v>50</v>
      </c>
      <c r="B48">
        <v>2198.8025379999999</v>
      </c>
    </row>
    <row r="49" spans="1:2" x14ac:dyDescent="0.25">
      <c r="A49">
        <v>51</v>
      </c>
      <c r="B49">
        <v>2192.2389520000002</v>
      </c>
    </row>
    <row r="50" spans="1:2" x14ac:dyDescent="0.25">
      <c r="A50">
        <v>52</v>
      </c>
      <c r="B50">
        <v>2185.714434</v>
      </c>
    </row>
    <row r="51" spans="1:2" x14ac:dyDescent="0.25">
      <c r="A51">
        <v>53</v>
      </c>
      <c r="B51">
        <v>2179.2286370000002</v>
      </c>
    </row>
    <row r="52" spans="1:2" x14ac:dyDescent="0.25">
      <c r="A52">
        <v>54</v>
      </c>
      <c r="B52">
        <v>2172.7812180000001</v>
      </c>
    </row>
    <row r="53" spans="1:2" x14ac:dyDescent="0.25">
      <c r="A53">
        <v>55</v>
      </c>
      <c r="B53">
        <v>2166.3718370000001</v>
      </c>
    </row>
    <row r="54" spans="1:2" x14ac:dyDescent="0.25">
      <c r="A54">
        <v>56</v>
      </c>
      <c r="B54">
        <v>2160.0001579999998</v>
      </c>
    </row>
    <row r="55" spans="1:2" x14ac:dyDescent="0.25">
      <c r="A55">
        <v>57</v>
      </c>
      <c r="B55">
        <v>2153.665849</v>
      </c>
    </row>
    <row r="56" spans="1:2" x14ac:dyDescent="0.25">
      <c r="A56">
        <v>58</v>
      </c>
      <c r="B56">
        <v>2147.3685829999999</v>
      </c>
    </row>
    <row r="57" spans="1:2" x14ac:dyDescent="0.25">
      <c r="A57">
        <v>59</v>
      </c>
      <c r="B57">
        <v>2141.1080360000001</v>
      </c>
    </row>
    <row r="58" spans="1:2" x14ac:dyDescent="0.25">
      <c r="A58">
        <v>60</v>
      </c>
      <c r="B58">
        <v>2134.8838879999998</v>
      </c>
    </row>
    <row r="59" spans="1:2" x14ac:dyDescent="0.25">
      <c r="A59">
        <v>61</v>
      </c>
      <c r="B59">
        <v>2128.6958209999998</v>
      </c>
    </row>
    <row r="60" spans="1:2" x14ac:dyDescent="0.25">
      <c r="A60">
        <v>62</v>
      </c>
      <c r="B60">
        <v>2122.5435240000002</v>
      </c>
    </row>
    <row r="61" spans="1:2" x14ac:dyDescent="0.25">
      <c r="A61">
        <v>63</v>
      </c>
      <c r="B61">
        <v>2116.4266859999998</v>
      </c>
    </row>
    <row r="62" spans="1:2" x14ac:dyDescent="0.25">
      <c r="A62">
        <v>64</v>
      </c>
      <c r="B62">
        <v>2110.3450029999999</v>
      </c>
    </row>
    <row r="63" spans="1:2" x14ac:dyDescent="0.25">
      <c r="A63">
        <v>65</v>
      </c>
      <c r="B63">
        <v>2104.2981719999998</v>
      </c>
    </row>
    <row r="64" spans="1:2" x14ac:dyDescent="0.25">
      <c r="A64">
        <v>66</v>
      </c>
      <c r="B64">
        <v>2098.2858940000001</v>
      </c>
    </row>
    <row r="65" spans="1:2" x14ac:dyDescent="0.25">
      <c r="A65">
        <v>67</v>
      </c>
      <c r="B65">
        <v>2092.3078740000001</v>
      </c>
    </row>
    <row r="66" spans="1:2" x14ac:dyDescent="0.25">
      <c r="A66">
        <v>68</v>
      </c>
      <c r="B66">
        <v>2086.36382</v>
      </c>
    </row>
    <row r="67" spans="1:2" x14ac:dyDescent="0.25">
      <c r="A67">
        <v>69</v>
      </c>
      <c r="B67">
        <v>2080.4534440000002</v>
      </c>
    </row>
    <row r="68" spans="1:2" x14ac:dyDescent="0.25">
      <c r="A68">
        <v>70</v>
      </c>
      <c r="B68">
        <v>2074.5764589999999</v>
      </c>
    </row>
    <row r="69" spans="1:2" x14ac:dyDescent="0.25">
      <c r="A69">
        <v>71</v>
      </c>
      <c r="B69">
        <v>2068.7325839999999</v>
      </c>
    </row>
    <row r="70" spans="1:2" x14ac:dyDescent="0.25">
      <c r="A70">
        <v>72</v>
      </c>
      <c r="B70">
        <v>2062.9215399999998</v>
      </c>
    </row>
    <row r="71" spans="1:2" x14ac:dyDescent="0.25">
      <c r="A71">
        <v>73</v>
      </c>
      <c r="B71">
        <v>2057.143051</v>
      </c>
    </row>
    <row r="72" spans="1:2" x14ac:dyDescent="0.25">
      <c r="A72">
        <v>74</v>
      </c>
      <c r="B72">
        <v>2051.396843</v>
      </c>
    </row>
    <row r="73" spans="1:2" x14ac:dyDescent="0.25">
      <c r="A73">
        <v>75</v>
      </c>
      <c r="B73">
        <v>2045.6826490000001</v>
      </c>
    </row>
    <row r="74" spans="1:2" x14ac:dyDescent="0.25">
      <c r="A74">
        <v>76</v>
      </c>
      <c r="B74">
        <v>2040.0001990000001</v>
      </c>
    </row>
    <row r="75" spans="1:2" x14ac:dyDescent="0.25">
      <c r="A75">
        <v>77</v>
      </c>
      <c r="B75">
        <v>2034.3492309999999</v>
      </c>
    </row>
    <row r="76" spans="1:2" x14ac:dyDescent="0.25">
      <c r="A76">
        <v>78</v>
      </c>
      <c r="B76">
        <v>2028.729484</v>
      </c>
    </row>
    <row r="77" spans="1:2" x14ac:dyDescent="0.25">
      <c r="A77">
        <v>79</v>
      </c>
      <c r="B77">
        <v>2023.1406999999999</v>
      </c>
    </row>
    <row r="78" spans="1:2" x14ac:dyDescent="0.25">
      <c r="A78">
        <v>80</v>
      </c>
      <c r="B78">
        <v>2017.5826239999999</v>
      </c>
    </row>
    <row r="79" spans="1:2" x14ac:dyDescent="0.25">
      <c r="A79">
        <v>81</v>
      </c>
      <c r="B79">
        <v>2012.0550020000001</v>
      </c>
    </row>
    <row r="80" spans="1:2" x14ac:dyDescent="0.25">
      <c r="A80">
        <v>82</v>
      </c>
      <c r="B80">
        <v>2006.557587</v>
      </c>
    </row>
    <row r="81" spans="1:2" x14ac:dyDescent="0.25">
      <c r="A81">
        <v>83</v>
      </c>
      <c r="B81">
        <v>2001.09013</v>
      </c>
    </row>
    <row r="82" spans="1:2" x14ac:dyDescent="0.25">
      <c r="A82">
        <v>84</v>
      </c>
      <c r="B82">
        <v>1995.6523870000001</v>
      </c>
    </row>
    <row r="83" spans="1:2" x14ac:dyDescent="0.25">
      <c r="A83">
        <v>85</v>
      </c>
      <c r="B83">
        <v>1990.244117</v>
      </c>
    </row>
    <row r="84" spans="1:2" x14ac:dyDescent="0.25">
      <c r="A84">
        <v>86</v>
      </c>
      <c r="B84">
        <v>1984.8650809999999</v>
      </c>
    </row>
    <row r="85" spans="1:2" x14ac:dyDescent="0.25">
      <c r="A85">
        <v>87</v>
      </c>
      <c r="B85">
        <v>1979.5150430000001</v>
      </c>
    </row>
    <row r="86" spans="1:2" x14ac:dyDescent="0.25">
      <c r="A86">
        <v>88</v>
      </c>
      <c r="B86">
        <v>1974.1937680000001</v>
      </c>
    </row>
    <row r="87" spans="1:2" x14ac:dyDescent="0.25">
      <c r="A87">
        <v>89</v>
      </c>
      <c r="B87">
        <v>1968.9010249999999</v>
      </c>
    </row>
    <row r="88" spans="1:2" x14ac:dyDescent="0.25">
      <c r="A88">
        <v>90</v>
      </c>
      <c r="B88">
        <v>1963.6365860000001</v>
      </c>
    </row>
    <row r="89" spans="1:2" x14ac:dyDescent="0.25">
      <c r="A89">
        <v>91</v>
      </c>
      <c r="B89">
        <v>1958.400224</v>
      </c>
    </row>
    <row r="90" spans="1:2" x14ac:dyDescent="0.25">
      <c r="A90">
        <v>92</v>
      </c>
      <c r="B90">
        <v>1953.1917149999999</v>
      </c>
    </row>
    <row r="91" spans="1:2" x14ac:dyDescent="0.25">
      <c r="A91">
        <v>93</v>
      </c>
      <c r="B91">
        <v>1948.010837</v>
      </c>
    </row>
    <row r="92" spans="1:2" x14ac:dyDescent="0.25">
      <c r="A92">
        <v>94</v>
      </c>
      <c r="B92">
        <v>1942.8573710000001</v>
      </c>
    </row>
    <row r="93" spans="1:2" x14ac:dyDescent="0.25">
      <c r="A93">
        <v>95</v>
      </c>
      <c r="B93">
        <v>1937.7311</v>
      </c>
    </row>
    <row r="94" spans="1:2" x14ac:dyDescent="0.25">
      <c r="A94">
        <v>96</v>
      </c>
      <c r="B94">
        <v>1932.6318100000001</v>
      </c>
    </row>
    <row r="95" spans="1:2" x14ac:dyDescent="0.25">
      <c r="A95">
        <v>97</v>
      </c>
      <c r="B95">
        <v>1927.5592879999999</v>
      </c>
    </row>
    <row r="96" spans="1:2" x14ac:dyDescent="0.25">
      <c r="A96">
        <v>98</v>
      </c>
      <c r="B96">
        <v>1922.5133229999999</v>
      </c>
    </row>
    <row r="97" spans="1:2" x14ac:dyDescent="0.25">
      <c r="A97">
        <v>99</v>
      </c>
      <c r="B97">
        <v>1917.493708</v>
      </c>
    </row>
    <row r="98" spans="1:2" x14ac:dyDescent="0.25">
      <c r="A98">
        <v>100</v>
      </c>
      <c r="B98">
        <v>1912.500237</v>
      </c>
    </row>
    <row r="99" spans="1:2" x14ac:dyDescent="0.25">
      <c r="A99">
        <v>101</v>
      </c>
      <c r="B99">
        <v>1907.5327050000001</v>
      </c>
    </row>
    <row r="100" spans="1:2" x14ac:dyDescent="0.25">
      <c r="A100">
        <v>102</v>
      </c>
      <c r="B100">
        <v>1902.590913</v>
      </c>
    </row>
    <row r="101" spans="1:2" x14ac:dyDescent="0.25">
      <c r="A101">
        <v>103</v>
      </c>
      <c r="B101">
        <v>1897.674659</v>
      </c>
    </row>
    <row r="102" spans="1:2" x14ac:dyDescent="0.25">
      <c r="A102">
        <v>104</v>
      </c>
      <c r="B102">
        <v>1892.7837469999999</v>
      </c>
    </row>
    <row r="103" spans="1:2" x14ac:dyDescent="0.25">
      <c r="A103">
        <v>105</v>
      </c>
      <c r="B103">
        <v>1887.9179810000001</v>
      </c>
    </row>
    <row r="104" spans="1:2" x14ac:dyDescent="0.25">
      <c r="A104">
        <v>106</v>
      </c>
      <c r="B104">
        <v>1883.0771669999999</v>
      </c>
    </row>
    <row r="105" spans="1:2" x14ac:dyDescent="0.25">
      <c r="A105">
        <v>107</v>
      </c>
      <c r="B105">
        <v>1878.261115</v>
      </c>
    </row>
    <row r="106" spans="1:2" x14ac:dyDescent="0.25">
      <c r="A106">
        <v>108</v>
      </c>
      <c r="B106">
        <v>1873.4696349999999</v>
      </c>
    </row>
    <row r="107" spans="1:2" x14ac:dyDescent="0.25">
      <c r="A107">
        <v>109</v>
      </c>
      <c r="B107">
        <v>1868.702538</v>
      </c>
    </row>
    <row r="108" spans="1:2" x14ac:dyDescent="0.25">
      <c r="A108">
        <v>110</v>
      </c>
      <c r="B108">
        <v>1863.95964</v>
      </c>
    </row>
    <row r="109" spans="1:2" x14ac:dyDescent="0.25">
      <c r="A109">
        <v>111</v>
      </c>
      <c r="B109">
        <v>1859.240757</v>
      </c>
    </row>
    <row r="110" spans="1:2" x14ac:dyDescent="0.25">
      <c r="A110">
        <v>112</v>
      </c>
      <c r="B110">
        <v>1854.5457060000001</v>
      </c>
    </row>
    <row r="111" spans="1:2" x14ac:dyDescent="0.25">
      <c r="A111">
        <v>113</v>
      </c>
      <c r="B111">
        <v>1849.8743079999999</v>
      </c>
    </row>
    <row r="112" spans="1:2" x14ac:dyDescent="0.25">
      <c r="A112">
        <v>114</v>
      </c>
      <c r="B112">
        <v>1845.2263840000001</v>
      </c>
    </row>
    <row r="113" spans="1:2" x14ac:dyDescent="0.25">
      <c r="A113">
        <v>115</v>
      </c>
      <c r="B113">
        <v>1840.6017589999999</v>
      </c>
    </row>
    <row r="114" spans="1:2" x14ac:dyDescent="0.25">
      <c r="A114">
        <v>116</v>
      </c>
      <c r="B114">
        <v>1836.000256</v>
      </c>
    </row>
    <row r="115" spans="1:2" x14ac:dyDescent="0.25">
      <c r="A115">
        <v>117</v>
      </c>
      <c r="B115">
        <v>1831.421703</v>
      </c>
    </row>
    <row r="116" spans="1:2" x14ac:dyDescent="0.25">
      <c r="A116">
        <v>118</v>
      </c>
      <c r="B116">
        <v>1826.8659299999999</v>
      </c>
    </row>
    <row r="117" spans="1:2" x14ac:dyDescent="0.25">
      <c r="A117">
        <v>119</v>
      </c>
      <c r="B117">
        <v>1822.3327650000001</v>
      </c>
    </row>
    <row r="118" spans="1:2" x14ac:dyDescent="0.25">
      <c r="A118">
        <v>120</v>
      </c>
      <c r="B118">
        <v>1817.822042</v>
      </c>
    </row>
    <row r="119" spans="1:2" x14ac:dyDescent="0.25">
      <c r="A119">
        <v>121</v>
      </c>
      <c r="B119">
        <v>1813.3335950000001</v>
      </c>
    </row>
    <row r="120" spans="1:2" x14ac:dyDescent="0.25">
      <c r="A120">
        <v>122</v>
      </c>
      <c r="B120">
        <v>1808.8672570000001</v>
      </c>
    </row>
    <row r="121" spans="1:2" x14ac:dyDescent="0.25">
      <c r="A121">
        <v>123</v>
      </c>
      <c r="B121">
        <v>1804.4228680000001</v>
      </c>
    </row>
    <row r="122" spans="1:2" x14ac:dyDescent="0.25">
      <c r="A122">
        <v>124</v>
      </c>
      <c r="B122">
        <v>1800.000264</v>
      </c>
    </row>
    <row r="123" spans="1:2" x14ac:dyDescent="0.25">
      <c r="A123">
        <v>125</v>
      </c>
      <c r="B123">
        <v>1795.599287</v>
      </c>
    </row>
    <row r="124" spans="1:2" x14ac:dyDescent="0.25">
      <c r="A124">
        <v>126</v>
      </c>
      <c r="B124">
        <v>1791.2197779999999</v>
      </c>
    </row>
    <row r="125" spans="1:2" x14ac:dyDescent="0.25">
      <c r="A125">
        <v>127</v>
      </c>
      <c r="B125">
        <v>1786.8615809999999</v>
      </c>
    </row>
    <row r="126" spans="1:2" x14ac:dyDescent="0.25">
      <c r="A126">
        <v>128</v>
      </c>
      <c r="B126">
        <v>1782.5245399999999</v>
      </c>
    </row>
    <row r="127" spans="1:2" x14ac:dyDescent="0.25">
      <c r="A127">
        <v>129</v>
      </c>
      <c r="B127">
        <v>1778.2085010000001</v>
      </c>
    </row>
    <row r="128" spans="1:2" x14ac:dyDescent="0.25">
      <c r="A128">
        <v>130</v>
      </c>
      <c r="B128">
        <v>1773.913313</v>
      </c>
    </row>
    <row r="129" spans="1:2" x14ac:dyDescent="0.25">
      <c r="A129">
        <v>131</v>
      </c>
      <c r="B129">
        <v>1769.638825</v>
      </c>
    </row>
    <row r="130" spans="1:2" x14ac:dyDescent="0.25">
      <c r="A130">
        <v>132</v>
      </c>
      <c r="B130">
        <v>1765.3848869999999</v>
      </c>
    </row>
    <row r="131" spans="1:2" x14ac:dyDescent="0.25">
      <c r="A131">
        <v>133</v>
      </c>
      <c r="B131">
        <v>1761.1513520000001</v>
      </c>
    </row>
    <row r="132" spans="1:2" x14ac:dyDescent="0.25">
      <c r="A132">
        <v>134</v>
      </c>
      <c r="B132">
        <v>1756.9380719999999</v>
      </c>
    </row>
    <row r="133" spans="1:2" x14ac:dyDescent="0.25">
      <c r="A133">
        <v>135</v>
      </c>
      <c r="B133">
        <v>1752.7449039999999</v>
      </c>
    </row>
    <row r="134" spans="1:2" x14ac:dyDescent="0.25">
      <c r="A134">
        <v>136</v>
      </c>
      <c r="B134">
        <v>1748.571704</v>
      </c>
    </row>
    <row r="135" spans="1:2" x14ac:dyDescent="0.25">
      <c r="A135">
        <v>137</v>
      </c>
      <c r="B135">
        <v>1744.418328</v>
      </c>
    </row>
    <row r="136" spans="1:2" x14ac:dyDescent="0.25">
      <c r="A136">
        <v>138</v>
      </c>
      <c r="B136">
        <v>1740.284637</v>
      </c>
    </row>
    <row r="137" spans="1:2" x14ac:dyDescent="0.25">
      <c r="A137">
        <v>139</v>
      </c>
      <c r="B137">
        <v>1736.17049</v>
      </c>
    </row>
    <row r="138" spans="1:2" x14ac:dyDescent="0.25">
      <c r="A138">
        <v>140</v>
      </c>
      <c r="B138">
        <v>1732.07575</v>
      </c>
    </row>
    <row r="139" spans="1:2" x14ac:dyDescent="0.25">
      <c r="A139">
        <v>141</v>
      </c>
      <c r="B139">
        <v>1728.0002790000001</v>
      </c>
    </row>
    <row r="140" spans="1:2" x14ac:dyDescent="0.25">
      <c r="A140">
        <v>142</v>
      </c>
      <c r="B140">
        <v>1723.9439420000001</v>
      </c>
    </row>
    <row r="141" spans="1:2" x14ac:dyDescent="0.25">
      <c r="A141">
        <v>143</v>
      </c>
      <c r="B141">
        <v>1719.906604</v>
      </c>
    </row>
    <row r="142" spans="1:2" x14ac:dyDescent="0.25">
      <c r="A142">
        <v>144</v>
      </c>
      <c r="B142">
        <v>1715.888132</v>
      </c>
    </row>
    <row r="143" spans="1:2" x14ac:dyDescent="0.25">
      <c r="A143">
        <v>145</v>
      </c>
      <c r="B143">
        <v>1711.8883940000001</v>
      </c>
    </row>
    <row r="144" spans="1:2" x14ac:dyDescent="0.25">
      <c r="A144">
        <v>146</v>
      </c>
      <c r="B144">
        <v>1707.90726</v>
      </c>
    </row>
    <row r="145" spans="1:2" x14ac:dyDescent="0.25">
      <c r="A145">
        <v>147</v>
      </c>
      <c r="B145">
        <v>1703.9445989999999</v>
      </c>
    </row>
    <row r="146" spans="1:2" x14ac:dyDescent="0.25">
      <c r="A146">
        <v>148</v>
      </c>
      <c r="B146">
        <v>1700.000284</v>
      </c>
    </row>
    <row r="147" spans="1:2" x14ac:dyDescent="0.25">
      <c r="A147">
        <v>149</v>
      </c>
      <c r="B147">
        <v>1696.074188</v>
      </c>
    </row>
    <row r="148" spans="1:2" x14ac:dyDescent="0.25">
      <c r="A148">
        <v>150</v>
      </c>
      <c r="B148">
        <v>1692.1661839999999</v>
      </c>
    </row>
    <row r="149" spans="1:2" x14ac:dyDescent="0.25">
      <c r="A149">
        <v>151</v>
      </c>
      <c r="B149">
        <v>1688.276149</v>
      </c>
    </row>
    <row r="150" spans="1:2" x14ac:dyDescent="0.25">
      <c r="A150">
        <v>152</v>
      </c>
      <c r="B150">
        <v>1684.403957</v>
      </c>
    </row>
    <row r="151" spans="1:2" x14ac:dyDescent="0.25">
      <c r="A151">
        <v>153</v>
      </c>
      <c r="B151">
        <v>1680.549487</v>
      </c>
    </row>
    <row r="152" spans="1:2" x14ac:dyDescent="0.25">
      <c r="A152">
        <v>154</v>
      </c>
      <c r="B152">
        <v>1676.7126169999999</v>
      </c>
    </row>
    <row r="153" spans="1:2" x14ac:dyDescent="0.25">
      <c r="A153">
        <v>155</v>
      </c>
      <c r="B153">
        <v>1672.8932279999999</v>
      </c>
    </row>
    <row r="154" spans="1:2" x14ac:dyDescent="0.25">
      <c r="A154">
        <v>156</v>
      </c>
      <c r="B154">
        <v>1669.091199</v>
      </c>
    </row>
    <row r="155" spans="1:2" x14ac:dyDescent="0.25">
      <c r="A155">
        <v>157</v>
      </c>
      <c r="B155">
        <v>1665.306413</v>
      </c>
    </row>
    <row r="156" spans="1:2" x14ac:dyDescent="0.25">
      <c r="A156">
        <v>158</v>
      </c>
      <c r="B156">
        <v>1661.538753</v>
      </c>
    </row>
    <row r="157" spans="1:2" x14ac:dyDescent="0.25">
      <c r="A157">
        <v>159</v>
      </c>
      <c r="B157">
        <v>1657.788102</v>
      </c>
    </row>
    <row r="158" spans="1:2" x14ac:dyDescent="0.25">
      <c r="A158">
        <v>160</v>
      </c>
      <c r="B158">
        <v>1654.0543459999999</v>
      </c>
    </row>
    <row r="159" spans="1:2" x14ac:dyDescent="0.25">
      <c r="A159">
        <v>161</v>
      </c>
      <c r="B159">
        <v>1650.3373710000001</v>
      </c>
    </row>
    <row r="160" spans="1:2" x14ac:dyDescent="0.25">
      <c r="A160">
        <v>162</v>
      </c>
      <c r="B160">
        <v>1646.6370649999999</v>
      </c>
    </row>
    <row r="161" spans="1:2" x14ac:dyDescent="0.25">
      <c r="A161">
        <v>163</v>
      </c>
      <c r="B161">
        <v>1642.9533140000001</v>
      </c>
    </row>
    <row r="162" spans="1:2" x14ac:dyDescent="0.25">
      <c r="A162">
        <v>164</v>
      </c>
      <c r="B162">
        <v>1639.2860089999999</v>
      </c>
    </row>
    <row r="163" spans="1:2" x14ac:dyDescent="0.25">
      <c r="A163">
        <v>165</v>
      </c>
      <c r="B163">
        <v>1635.635039</v>
      </c>
    </row>
    <row r="164" spans="1:2" x14ac:dyDescent="0.25">
      <c r="A164">
        <v>166</v>
      </c>
      <c r="B164">
        <v>1632.0002959999999</v>
      </c>
    </row>
    <row r="165" spans="1:2" x14ac:dyDescent="0.25">
      <c r="A165">
        <v>167</v>
      </c>
      <c r="B165">
        <v>1628.3816710000001</v>
      </c>
    </row>
    <row r="166" spans="1:2" x14ac:dyDescent="0.25">
      <c r="A166">
        <v>168</v>
      </c>
      <c r="B166">
        <v>1624.7790580000001</v>
      </c>
    </row>
    <row r="167" spans="1:2" x14ac:dyDescent="0.25">
      <c r="A167">
        <v>169</v>
      </c>
      <c r="B167">
        <v>1621.19235</v>
      </c>
    </row>
    <row r="168" spans="1:2" x14ac:dyDescent="0.25">
      <c r="A168">
        <v>170</v>
      </c>
      <c r="B168">
        <v>1617.621443</v>
      </c>
    </row>
    <row r="169" spans="1:2" x14ac:dyDescent="0.25">
      <c r="A169">
        <v>171</v>
      </c>
      <c r="B169">
        <v>1614.0662319999999</v>
      </c>
    </row>
    <row r="170" spans="1:2" x14ac:dyDescent="0.25">
      <c r="A170">
        <v>172</v>
      </c>
      <c r="B170">
        <v>1610.526615</v>
      </c>
    </row>
    <row r="171" spans="1:2" x14ac:dyDescent="0.25">
      <c r="A171">
        <v>173</v>
      </c>
      <c r="B171">
        <v>1607.0024880000001</v>
      </c>
    </row>
    <row r="172" spans="1:2" x14ac:dyDescent="0.25">
      <c r="A172">
        <v>174</v>
      </c>
      <c r="B172">
        <v>1603.4937500000001</v>
      </c>
    </row>
    <row r="173" spans="1:2" x14ac:dyDescent="0.25">
      <c r="A173">
        <v>175</v>
      </c>
      <c r="B173">
        <v>1600.0002999999999</v>
      </c>
    </row>
    <row r="174" spans="1:2" x14ac:dyDescent="0.25">
      <c r="A174">
        <v>176</v>
      </c>
      <c r="B174">
        <v>1596.5220400000001</v>
      </c>
    </row>
    <row r="175" spans="1:2" x14ac:dyDescent="0.25">
      <c r="A175">
        <v>177</v>
      </c>
      <c r="B175">
        <v>1593.0588700000001</v>
      </c>
    </row>
    <row r="176" spans="1:2" x14ac:dyDescent="0.25">
      <c r="A176">
        <v>178</v>
      </c>
      <c r="B176">
        <v>1589.6106910000001</v>
      </c>
    </row>
    <row r="177" spans="1:2" x14ac:dyDescent="0.25">
      <c r="A177">
        <v>179</v>
      </c>
      <c r="B177">
        <v>1586.177408</v>
      </c>
    </row>
    <row r="178" spans="1:2" x14ac:dyDescent="0.25">
      <c r="A178">
        <v>180</v>
      </c>
      <c r="B178">
        <v>1582.7589230000001</v>
      </c>
    </row>
    <row r="179" spans="1:2" x14ac:dyDescent="0.25">
      <c r="A179">
        <v>181</v>
      </c>
      <c r="B179">
        <v>1579.3551419999999</v>
      </c>
    </row>
    <row r="180" spans="1:2" x14ac:dyDescent="0.25">
      <c r="A180">
        <v>182</v>
      </c>
      <c r="B180">
        <v>1575.9659690000001</v>
      </c>
    </row>
    <row r="181" spans="1:2" x14ac:dyDescent="0.25">
      <c r="A181">
        <v>183</v>
      </c>
      <c r="B181">
        <v>1572.5913109999999</v>
      </c>
    </row>
    <row r="182" spans="1:2" x14ac:dyDescent="0.25">
      <c r="A182">
        <v>184</v>
      </c>
      <c r="B182">
        <v>1569.231074</v>
      </c>
    </row>
    <row r="183" spans="1:2" x14ac:dyDescent="0.25">
      <c r="A183">
        <v>185</v>
      </c>
      <c r="B183">
        <v>1565.885166</v>
      </c>
    </row>
    <row r="184" spans="1:2" x14ac:dyDescent="0.25">
      <c r="A184">
        <v>186</v>
      </c>
      <c r="B184">
        <v>1562.5534970000001</v>
      </c>
    </row>
    <row r="185" spans="1:2" x14ac:dyDescent="0.25">
      <c r="A185">
        <v>187</v>
      </c>
      <c r="B185">
        <v>1559.2359750000001</v>
      </c>
    </row>
    <row r="186" spans="1:2" x14ac:dyDescent="0.25">
      <c r="A186">
        <v>188</v>
      </c>
      <c r="B186">
        <v>1555.9325100000001</v>
      </c>
    </row>
    <row r="187" spans="1:2" x14ac:dyDescent="0.25">
      <c r="A187">
        <v>189</v>
      </c>
      <c r="B187">
        <v>1552.6430130000001</v>
      </c>
    </row>
    <row r="188" spans="1:2" x14ac:dyDescent="0.25">
      <c r="A188">
        <v>190</v>
      </c>
      <c r="B188">
        <v>1549.3673960000001</v>
      </c>
    </row>
    <row r="189" spans="1:2" x14ac:dyDescent="0.25">
      <c r="A189">
        <v>191</v>
      </c>
      <c r="B189">
        <v>1546.1055710000001</v>
      </c>
    </row>
    <row r="190" spans="1:2" x14ac:dyDescent="0.25">
      <c r="A190">
        <v>192</v>
      </c>
      <c r="B190">
        <v>1542.8574510000001</v>
      </c>
    </row>
    <row r="191" spans="1:2" x14ac:dyDescent="0.25">
      <c r="A191">
        <v>193</v>
      </c>
      <c r="B191">
        <v>1539.6229499999999</v>
      </c>
    </row>
    <row r="192" spans="1:2" x14ac:dyDescent="0.25">
      <c r="A192">
        <v>194</v>
      </c>
      <c r="B192">
        <v>1536.4019820000001</v>
      </c>
    </row>
    <row r="193" spans="1:2" x14ac:dyDescent="0.25">
      <c r="A193">
        <v>195</v>
      </c>
      <c r="B193">
        <v>1533.194463</v>
      </c>
    </row>
    <row r="194" spans="1:2" x14ac:dyDescent="0.25">
      <c r="A194">
        <v>196</v>
      </c>
      <c r="B194">
        <v>1530.000309</v>
      </c>
    </row>
    <row r="195" spans="1:2" x14ac:dyDescent="0.25">
      <c r="A195">
        <v>197</v>
      </c>
      <c r="B195">
        <v>1526.819436</v>
      </c>
    </row>
    <row r="196" spans="1:2" x14ac:dyDescent="0.25">
      <c r="A196">
        <v>198</v>
      </c>
      <c r="B196">
        <v>1523.651762</v>
      </c>
    </row>
    <row r="197" spans="1:2" x14ac:dyDescent="0.25">
      <c r="A197">
        <v>199</v>
      </c>
      <c r="B197">
        <v>1520.4972049999999</v>
      </c>
    </row>
    <row r="198" spans="1:2" x14ac:dyDescent="0.25">
      <c r="A198">
        <v>200</v>
      </c>
      <c r="B198">
        <v>1517.3556819999999</v>
      </c>
    </row>
    <row r="199" spans="1:2" x14ac:dyDescent="0.25">
      <c r="A199">
        <v>201</v>
      </c>
      <c r="B199">
        <v>1514.2271149999999</v>
      </c>
    </row>
    <row r="200" spans="1:2" x14ac:dyDescent="0.25">
      <c r="A200">
        <v>202</v>
      </c>
      <c r="B200">
        <v>1511.1114219999999</v>
      </c>
    </row>
    <row r="201" spans="1:2" x14ac:dyDescent="0.25">
      <c r="A201">
        <v>203</v>
      </c>
      <c r="B201">
        <v>1508.008525</v>
      </c>
    </row>
    <row r="202" spans="1:2" x14ac:dyDescent="0.25">
      <c r="A202">
        <v>204</v>
      </c>
      <c r="B202">
        <v>1504.918345</v>
      </c>
    </row>
    <row r="203" spans="1:2" x14ac:dyDescent="0.25">
      <c r="A203">
        <v>205</v>
      </c>
      <c r="B203">
        <v>1501.8408030000001</v>
      </c>
    </row>
    <row r="204" spans="1:2" x14ac:dyDescent="0.25">
      <c r="A204">
        <v>206</v>
      </c>
      <c r="B204">
        <v>1498.7758229999999</v>
      </c>
    </row>
    <row r="205" spans="1:2" x14ac:dyDescent="0.25">
      <c r="A205">
        <v>207</v>
      </c>
      <c r="B205">
        <v>1495.7233269999999</v>
      </c>
    </row>
    <row r="206" spans="1:2" x14ac:dyDescent="0.25">
      <c r="A206">
        <v>208</v>
      </c>
      <c r="B206">
        <v>1492.6832400000001</v>
      </c>
    </row>
    <row r="207" spans="1:2" x14ac:dyDescent="0.25">
      <c r="A207">
        <v>209</v>
      </c>
      <c r="B207">
        <v>1489.6554860000001</v>
      </c>
    </row>
    <row r="208" spans="1:2" x14ac:dyDescent="0.25">
      <c r="A208">
        <v>210</v>
      </c>
      <c r="B208">
        <v>1486.6399899999999</v>
      </c>
    </row>
    <row r="209" spans="1:2" x14ac:dyDescent="0.25">
      <c r="A209">
        <v>211</v>
      </c>
      <c r="B209">
        <v>1483.6366780000001</v>
      </c>
    </row>
    <row r="210" spans="1:2" x14ac:dyDescent="0.25">
      <c r="A210">
        <v>212</v>
      </c>
      <c r="B210">
        <v>1480.645475</v>
      </c>
    </row>
    <row r="211" spans="1:2" x14ac:dyDescent="0.25">
      <c r="A211">
        <v>213</v>
      </c>
      <c r="B211">
        <v>1477.6663100000001</v>
      </c>
    </row>
    <row r="212" spans="1:2" x14ac:dyDescent="0.25">
      <c r="A212">
        <v>214</v>
      </c>
      <c r="B212">
        <v>1474.69911</v>
      </c>
    </row>
    <row r="213" spans="1:2" x14ac:dyDescent="0.25">
      <c r="A213">
        <v>215</v>
      </c>
      <c r="B213">
        <v>1471.743802</v>
      </c>
    </row>
    <row r="214" spans="1:2" x14ac:dyDescent="0.25">
      <c r="A214">
        <v>216</v>
      </c>
      <c r="B214">
        <v>1468.800315</v>
      </c>
    </row>
    <row r="215" spans="1:2" x14ac:dyDescent="0.25">
      <c r="A215">
        <v>217</v>
      </c>
      <c r="B215">
        <v>1465.868579</v>
      </c>
    </row>
    <row r="216" spans="1:2" x14ac:dyDescent="0.25">
      <c r="A216">
        <v>218</v>
      </c>
      <c r="B216">
        <v>1462.948523</v>
      </c>
    </row>
    <row r="217" spans="1:2" x14ac:dyDescent="0.25">
      <c r="A217">
        <v>219</v>
      </c>
      <c r="B217">
        <v>1460.0400770000001</v>
      </c>
    </row>
    <row r="218" spans="1:2" x14ac:dyDescent="0.25">
      <c r="A218">
        <v>220</v>
      </c>
      <c r="B218">
        <v>1457.1431729999999</v>
      </c>
    </row>
    <row r="219" spans="1:2" x14ac:dyDescent="0.25">
      <c r="A219">
        <v>221</v>
      </c>
      <c r="B219">
        <v>1454.257742</v>
      </c>
    </row>
    <row r="220" spans="1:2" x14ac:dyDescent="0.25">
      <c r="A220">
        <v>222</v>
      </c>
      <c r="B220">
        <v>1451.383716</v>
      </c>
    </row>
    <row r="221" spans="1:2" x14ac:dyDescent="0.25">
      <c r="A221">
        <v>223</v>
      </c>
      <c r="B221">
        <v>1448.521027</v>
      </c>
    </row>
    <row r="222" spans="1:2" x14ac:dyDescent="0.25">
      <c r="A222">
        <v>224</v>
      </c>
      <c r="B222">
        <v>1445.6696079999999</v>
      </c>
    </row>
    <row r="223" spans="1:2" x14ac:dyDescent="0.25">
      <c r="A223">
        <v>225</v>
      </c>
      <c r="B223">
        <v>1442.8293940000001</v>
      </c>
    </row>
    <row r="224" spans="1:2" x14ac:dyDescent="0.25">
      <c r="A224">
        <v>226</v>
      </c>
      <c r="B224">
        <v>1440.0003180000001</v>
      </c>
    </row>
    <row r="225" spans="1:2" x14ac:dyDescent="0.25">
      <c r="A225">
        <v>227</v>
      </c>
      <c r="B225">
        <v>1437.1823139999999</v>
      </c>
    </row>
    <row r="226" spans="1:2" x14ac:dyDescent="0.25">
      <c r="A226">
        <v>228</v>
      </c>
      <c r="B226">
        <v>1434.3753180000001</v>
      </c>
    </row>
    <row r="227" spans="1:2" x14ac:dyDescent="0.25">
      <c r="A227">
        <v>229</v>
      </c>
      <c r="B227">
        <v>1431.579266</v>
      </c>
    </row>
    <row r="228" spans="1:2" x14ac:dyDescent="0.25">
      <c r="A228">
        <v>230</v>
      </c>
      <c r="B228">
        <v>1428.794093</v>
      </c>
    </row>
    <row r="229" spans="1:2" x14ac:dyDescent="0.25">
      <c r="A229">
        <v>231</v>
      </c>
      <c r="B229">
        <v>1426.019736</v>
      </c>
    </row>
    <row r="230" spans="1:2" x14ac:dyDescent="0.25">
      <c r="A230">
        <v>232</v>
      </c>
      <c r="B230">
        <v>1423.2561330000001</v>
      </c>
    </row>
    <row r="231" spans="1:2" x14ac:dyDescent="0.25">
      <c r="A231">
        <v>233</v>
      </c>
      <c r="B231">
        <v>1420.5032200000001</v>
      </c>
    </row>
    <row r="232" spans="1:2" x14ac:dyDescent="0.25">
      <c r="A232">
        <v>234</v>
      </c>
      <c r="B232">
        <v>1417.760937</v>
      </c>
    </row>
    <row r="233" spans="1:2" x14ac:dyDescent="0.25">
      <c r="A233">
        <v>235</v>
      </c>
      <c r="B233">
        <v>1415.029221</v>
      </c>
    </row>
    <row r="234" spans="1:2" x14ac:dyDescent="0.25">
      <c r="A234">
        <v>236</v>
      </c>
      <c r="B234">
        <v>1412.308012</v>
      </c>
    </row>
    <row r="235" spans="1:2" x14ac:dyDescent="0.25">
      <c r="A235">
        <v>237</v>
      </c>
      <c r="B235">
        <v>1409.5972489999999</v>
      </c>
    </row>
    <row r="236" spans="1:2" x14ac:dyDescent="0.25">
      <c r="A236">
        <v>238</v>
      </c>
      <c r="B236">
        <v>1406.896872</v>
      </c>
    </row>
    <row r="237" spans="1:2" x14ac:dyDescent="0.25">
      <c r="A237">
        <v>239</v>
      </c>
      <c r="B237">
        <v>1404.206821</v>
      </c>
    </row>
    <row r="238" spans="1:2" x14ac:dyDescent="0.25">
      <c r="A238">
        <v>240</v>
      </c>
      <c r="B238">
        <v>1401.5270379999999</v>
      </c>
    </row>
    <row r="239" spans="1:2" x14ac:dyDescent="0.25">
      <c r="A239">
        <v>241</v>
      </c>
      <c r="B239">
        <v>1398.8574630000001</v>
      </c>
    </row>
    <row r="240" spans="1:2" x14ac:dyDescent="0.25">
      <c r="A240">
        <v>242</v>
      </c>
      <c r="B240">
        <v>1396.1980390000001</v>
      </c>
    </row>
    <row r="241" spans="1:2" x14ac:dyDescent="0.25">
      <c r="A241">
        <v>243</v>
      </c>
      <c r="B241">
        <v>1393.548708</v>
      </c>
    </row>
    <row r="242" spans="1:2" x14ac:dyDescent="0.25">
      <c r="A242">
        <v>244</v>
      </c>
      <c r="B242">
        <v>1390.909412</v>
      </c>
    </row>
    <row r="243" spans="1:2" x14ac:dyDescent="0.25">
      <c r="A243">
        <v>245</v>
      </c>
      <c r="B243">
        <v>1388.280094</v>
      </c>
    </row>
    <row r="244" spans="1:2" x14ac:dyDescent="0.25">
      <c r="A244">
        <v>246</v>
      </c>
      <c r="B244">
        <v>1385.6606979999999</v>
      </c>
    </row>
    <row r="245" spans="1:2" x14ac:dyDescent="0.25">
      <c r="A245">
        <v>247</v>
      </c>
      <c r="B245">
        <v>1383.0511690000001</v>
      </c>
    </row>
    <row r="246" spans="1:2" x14ac:dyDescent="0.25">
      <c r="A246">
        <v>248</v>
      </c>
      <c r="B246">
        <v>1380.4514489999999</v>
      </c>
    </row>
    <row r="247" spans="1:2" x14ac:dyDescent="0.25">
      <c r="A247">
        <v>249</v>
      </c>
      <c r="B247">
        <v>1377.8614849999999</v>
      </c>
    </row>
    <row r="248" spans="1:2" x14ac:dyDescent="0.25">
      <c r="A248">
        <v>250</v>
      </c>
      <c r="B248">
        <v>1375.2812200000001</v>
      </c>
    </row>
    <row r="249" spans="1:2" x14ac:dyDescent="0.25">
      <c r="A249">
        <v>251</v>
      </c>
      <c r="B249">
        <v>1372.7106020000001</v>
      </c>
    </row>
    <row r="250" spans="1:2" x14ac:dyDescent="0.25">
      <c r="A250">
        <v>252</v>
      </c>
      <c r="B250">
        <v>1370.149576</v>
      </c>
    </row>
    <row r="251" spans="1:2" x14ac:dyDescent="0.25">
      <c r="A251">
        <v>253</v>
      </c>
      <c r="B251">
        <v>1367.5980870000001</v>
      </c>
    </row>
    <row r="252" spans="1:2" x14ac:dyDescent="0.25">
      <c r="A252">
        <v>254</v>
      </c>
      <c r="B252">
        <v>1365.0560840000001</v>
      </c>
    </row>
    <row r="253" spans="1:2" x14ac:dyDescent="0.25">
      <c r="A253">
        <v>255</v>
      </c>
      <c r="B253">
        <v>1362.5235130000001</v>
      </c>
    </row>
    <row r="254" spans="1:2" x14ac:dyDescent="0.25">
      <c r="A254">
        <v>256</v>
      </c>
      <c r="B254">
        <v>1360.0003220000001</v>
      </c>
    </row>
    <row r="255" spans="1:2" x14ac:dyDescent="0.25">
      <c r="A255">
        <v>257</v>
      </c>
      <c r="B255">
        <v>1357.486459</v>
      </c>
    </row>
    <row r="256" spans="1:2" x14ac:dyDescent="0.25">
      <c r="A256">
        <v>258</v>
      </c>
      <c r="B256">
        <v>1354.9818720000001</v>
      </c>
    </row>
    <row r="257" spans="1:2" x14ac:dyDescent="0.25">
      <c r="A257">
        <v>259</v>
      </c>
      <c r="B257">
        <v>1352.48651</v>
      </c>
    </row>
    <row r="258" spans="1:2" x14ac:dyDescent="0.25">
      <c r="A258">
        <v>260</v>
      </c>
      <c r="B258">
        <v>1350.000323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Aggregated Wavelength Data</vt:lpstr>
      <vt:lpstr>Monthly Analyses SVM</vt:lpstr>
      <vt:lpstr>Class Analyses SVM</vt:lpstr>
      <vt:lpstr>2 Class Aggregate Wavelengths</vt:lpstr>
      <vt:lpstr>2 Class Phloem Aggregate</vt:lpstr>
      <vt:lpstr>Figure for Publication</vt:lpstr>
      <vt:lpstr>VarImp</vt:lpstr>
      <vt:lpstr>Interpretation</vt:lpstr>
      <vt:lpstr>Prediction</vt:lpstr>
      <vt:lpstr>PLSDA</vt:lpstr>
      <vt:lpstr>Bulk Wavelengths</vt:lpstr>
      <vt:lpstr>WLReference</vt:lpstr>
      <vt:lpstr>ColRef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Parrott, William</dc:creator>
  <cp:lastModifiedBy>Parrott, William</cp:lastModifiedBy>
  <dcterms:created xsi:type="dcterms:W3CDTF">2025-05-30T14:37:11Z</dcterms:created>
  <dcterms:modified xsi:type="dcterms:W3CDTF">2026-04-14T13:09:15Z</dcterms:modified>
</cp:coreProperties>
</file>