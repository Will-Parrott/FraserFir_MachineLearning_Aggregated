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8_{52C85099-5B2A-4B49-9F33-770859D40275}" xr6:coauthVersionLast="47" xr6:coauthVersionMax="47" xr10:uidLastSave="{00000000-0000-0000-0000-000000000000}"/>
  <bookViews>
    <workbookView xWindow="-120" yWindow="-120" windowWidth="29040" windowHeight="15720" activeTab="8" xr2:uid="{0B8AA101-B642-4942-8513-0160DA2F0FFB}"/>
  </bookViews>
  <sheets>
    <sheet name="Protein Stat Tables" sheetId="9" r:id="rId1"/>
    <sheet name="Sample Inventory" sheetId="7" r:id="rId2"/>
    <sheet name="All PR_Conc" sheetId="8" r:id="rId3"/>
    <sheet name="AM" sheetId="1" r:id="rId4"/>
    <sheet name="AR" sheetId="2" r:id="rId5"/>
    <sheet name="ANR" sheetId="3" r:id="rId6"/>
    <sheet name="JM" sheetId="4" r:id="rId7"/>
    <sheet name="JR" sheetId="5" r:id="rId8"/>
    <sheet name="JNR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8" i="8" l="1"/>
  <c r="E89" i="8"/>
  <c r="E90" i="8"/>
  <c r="E91" i="8"/>
  <c r="E92" i="8"/>
  <c r="E93" i="8"/>
  <c r="E94" i="8"/>
  <c r="E95" i="8"/>
  <c r="E96" i="8"/>
  <c r="E97" i="8"/>
  <c r="X53" i="6"/>
  <c r="X42" i="6"/>
  <c r="Y42" i="6" s="1"/>
  <c r="X41" i="6"/>
  <c r="X29" i="6"/>
  <c r="Y29" i="6" s="1"/>
  <c r="X17" i="6"/>
  <c r="X18" i="6"/>
  <c r="Y18" i="6" s="1"/>
  <c r="X19" i="6"/>
  <c r="X20" i="6"/>
  <c r="X21" i="6"/>
  <c r="X22" i="6"/>
  <c r="X23" i="6"/>
  <c r="X24" i="6"/>
  <c r="X25" i="6"/>
  <c r="X26" i="6"/>
  <c r="Y26" i="6" s="1"/>
  <c r="X27" i="6"/>
  <c r="Y27" i="6" s="1"/>
  <c r="X16" i="6"/>
  <c r="Y4" i="6"/>
  <c r="Y5" i="6"/>
  <c r="Y6" i="6"/>
  <c r="Y7" i="6"/>
  <c r="Y8" i="6"/>
  <c r="Y9" i="6"/>
  <c r="Y10" i="6"/>
  <c r="Y11" i="6"/>
  <c r="Y12" i="6"/>
  <c r="Y13" i="6"/>
  <c r="Y14" i="6"/>
  <c r="Y16" i="6"/>
  <c r="E86" i="8" s="1"/>
  <c r="Y17" i="6"/>
  <c r="Y19" i="6"/>
  <c r="Y20" i="6"/>
  <c r="Y21" i="6"/>
  <c r="Y22" i="6"/>
  <c r="Y23" i="6"/>
  <c r="Y24" i="6"/>
  <c r="Y25" i="6"/>
  <c r="Y41" i="6"/>
  <c r="Y53" i="6"/>
  <c r="Y3" i="6"/>
  <c r="X4" i="6"/>
  <c r="X5" i="6"/>
  <c r="X6" i="6"/>
  <c r="X7" i="6"/>
  <c r="X8" i="6"/>
  <c r="X9" i="6"/>
  <c r="X10" i="6"/>
  <c r="X11" i="6"/>
  <c r="X12" i="6"/>
  <c r="X13" i="6"/>
  <c r="X14" i="6"/>
  <c r="X3" i="6"/>
  <c r="W54" i="6"/>
  <c r="X54" i="6" s="1"/>
  <c r="Y54" i="6" s="1"/>
  <c r="W55" i="6"/>
  <c r="X55" i="6" s="1"/>
  <c r="Y55" i="6" s="1"/>
  <c r="W56" i="6"/>
  <c r="X56" i="6" s="1"/>
  <c r="Y56" i="6" s="1"/>
  <c r="W57" i="6"/>
  <c r="X57" i="6" s="1"/>
  <c r="Y57" i="6" s="1"/>
  <c r="W58" i="6"/>
  <c r="X58" i="6" s="1"/>
  <c r="Y58" i="6" s="1"/>
  <c r="W60" i="6"/>
  <c r="X60" i="6" s="1"/>
  <c r="Y60" i="6" s="1"/>
  <c r="W59" i="6"/>
  <c r="X59" i="6" s="1"/>
  <c r="Y59" i="6" s="1"/>
  <c r="W61" i="6"/>
  <c r="X61" i="6" s="1"/>
  <c r="Y61" i="6" s="1"/>
  <c r="W62" i="6"/>
  <c r="X62" i="6" s="1"/>
  <c r="Y62" i="6" s="1"/>
  <c r="W63" i="6"/>
  <c r="X63" i="6" s="1"/>
  <c r="Y63" i="6" s="1"/>
  <c r="W53" i="6"/>
  <c r="W42" i="6"/>
  <c r="W43" i="6"/>
  <c r="X43" i="6" s="1"/>
  <c r="Y43" i="6" s="1"/>
  <c r="W44" i="6"/>
  <c r="X44" i="6" s="1"/>
  <c r="Y44" i="6" s="1"/>
  <c r="W45" i="6"/>
  <c r="X45" i="6" s="1"/>
  <c r="Y45" i="6" s="1"/>
  <c r="W46" i="6"/>
  <c r="X46" i="6" s="1"/>
  <c r="Y46" i="6" s="1"/>
  <c r="W48" i="6"/>
  <c r="X48" i="6" s="1"/>
  <c r="Y48" i="6" s="1"/>
  <c r="W47" i="6"/>
  <c r="X47" i="6" s="1"/>
  <c r="Y47" i="6" s="1"/>
  <c r="W49" i="6"/>
  <c r="X49" i="6" s="1"/>
  <c r="Y49" i="6" s="1"/>
  <c r="W50" i="6"/>
  <c r="X50" i="6" s="1"/>
  <c r="Y50" i="6" s="1"/>
  <c r="W51" i="6"/>
  <c r="X51" i="6" s="1"/>
  <c r="Y51" i="6" s="1"/>
  <c r="W41" i="6"/>
  <c r="W30" i="6"/>
  <c r="X30" i="6" s="1"/>
  <c r="Y30" i="6" s="1"/>
  <c r="W31" i="6"/>
  <c r="X31" i="6" s="1"/>
  <c r="Y31" i="6" s="1"/>
  <c r="W32" i="6"/>
  <c r="X32" i="6" s="1"/>
  <c r="Y32" i="6" s="1"/>
  <c r="W33" i="6"/>
  <c r="X33" i="6" s="1"/>
  <c r="Y33" i="6" s="1"/>
  <c r="W34" i="6"/>
  <c r="X34" i="6" s="1"/>
  <c r="Y34" i="6" s="1"/>
  <c r="W36" i="6"/>
  <c r="X36" i="6" s="1"/>
  <c r="Y36" i="6" s="1"/>
  <c r="W35" i="6"/>
  <c r="X35" i="6" s="1"/>
  <c r="Y35" i="6" s="1"/>
  <c r="W37" i="6"/>
  <c r="X37" i="6" s="1"/>
  <c r="Y37" i="6" s="1"/>
  <c r="W38" i="6"/>
  <c r="X38" i="6" s="1"/>
  <c r="Y38" i="6" s="1"/>
  <c r="W39" i="6"/>
  <c r="X39" i="6" s="1"/>
  <c r="Y39" i="6" s="1"/>
  <c r="W29" i="6"/>
  <c r="W18" i="6"/>
  <c r="W19" i="6"/>
  <c r="W20" i="6"/>
  <c r="W21" i="6"/>
  <c r="W25" i="6"/>
  <c r="W26" i="6"/>
  <c r="W27" i="6"/>
  <c r="W14" i="6"/>
  <c r="Q31" i="6"/>
  <c r="Q30" i="6"/>
  <c r="Q29" i="6"/>
  <c r="Q28" i="6"/>
  <c r="Q27" i="6"/>
  <c r="Q25" i="6"/>
  <c r="Q24" i="6"/>
  <c r="Q23" i="6"/>
  <c r="Q22" i="6"/>
  <c r="Q21" i="6"/>
  <c r="Q19" i="6"/>
  <c r="Q18" i="6"/>
  <c r="Q17" i="6"/>
  <c r="Q16" i="6"/>
  <c r="Q15" i="6"/>
  <c r="R15" i="6" s="1"/>
  <c r="Q13" i="6"/>
  <c r="Q12" i="6"/>
  <c r="R12" i="6" s="1"/>
  <c r="Q11" i="6"/>
  <c r="Q10" i="6"/>
  <c r="Q9" i="6"/>
  <c r="W17" i="6" s="1"/>
  <c r="Q7" i="6"/>
  <c r="Q6" i="6"/>
  <c r="Q5" i="6"/>
  <c r="R5" i="6" s="1"/>
  <c r="Q4" i="6"/>
  <c r="E74" i="8"/>
  <c r="E75" i="8"/>
  <c r="E76" i="8"/>
  <c r="E77" i="8"/>
  <c r="E78" i="8"/>
  <c r="E79" i="8"/>
  <c r="E80" i="8"/>
  <c r="E81" i="8"/>
  <c r="E82" i="8"/>
  <c r="E83" i="8"/>
  <c r="E84" i="8"/>
  <c r="E85" i="8"/>
  <c r="E73" i="8"/>
  <c r="X74" i="5"/>
  <c r="X75" i="5"/>
  <c r="Y75" i="5" s="1"/>
  <c r="X76" i="5"/>
  <c r="Y76" i="5" s="1"/>
  <c r="X77" i="5"/>
  <c r="Y77" i="5" s="1"/>
  <c r="X78" i="5"/>
  <c r="X79" i="5"/>
  <c r="X80" i="5"/>
  <c r="X81" i="5"/>
  <c r="X82" i="5"/>
  <c r="X83" i="5"/>
  <c r="X84" i="5"/>
  <c r="Y84" i="5" s="1"/>
  <c r="X85" i="5"/>
  <c r="Y85" i="5" s="1"/>
  <c r="X73" i="5"/>
  <c r="X60" i="5"/>
  <c r="X61" i="5"/>
  <c r="Y61" i="5" s="1"/>
  <c r="X62" i="5"/>
  <c r="X63" i="5"/>
  <c r="X64" i="5"/>
  <c r="Y64" i="5" s="1"/>
  <c r="X65" i="5"/>
  <c r="X66" i="5"/>
  <c r="X67" i="5"/>
  <c r="Y67" i="5" s="1"/>
  <c r="X68" i="5"/>
  <c r="Y68" i="5" s="1"/>
  <c r="X69" i="5"/>
  <c r="Y69" i="5" s="1"/>
  <c r="X70" i="5"/>
  <c r="Y70" i="5" s="1"/>
  <c r="X71" i="5"/>
  <c r="Y71" i="5" s="1"/>
  <c r="X59" i="5"/>
  <c r="Y59" i="5" s="1"/>
  <c r="X46" i="5"/>
  <c r="X47" i="5"/>
  <c r="X48" i="5"/>
  <c r="X49" i="5"/>
  <c r="Y49" i="5" s="1"/>
  <c r="X50" i="5"/>
  <c r="Y50" i="5" s="1"/>
  <c r="X51" i="5"/>
  <c r="X52" i="5"/>
  <c r="X53" i="5"/>
  <c r="X54" i="5"/>
  <c r="X55" i="5"/>
  <c r="X56" i="5"/>
  <c r="Y56" i="5" s="1"/>
  <c r="X57" i="5"/>
  <c r="Y57" i="5" s="1"/>
  <c r="X45" i="5"/>
  <c r="X32" i="5"/>
  <c r="Y32" i="5" s="1"/>
  <c r="X33" i="5"/>
  <c r="Y33" i="5" s="1"/>
  <c r="X34" i="5"/>
  <c r="Y34" i="5" s="1"/>
  <c r="X35" i="5"/>
  <c r="X36" i="5"/>
  <c r="X37" i="5"/>
  <c r="X38" i="5"/>
  <c r="X39" i="5"/>
  <c r="X40" i="5"/>
  <c r="X41" i="5"/>
  <c r="Y41" i="5" s="1"/>
  <c r="X42" i="5"/>
  <c r="Y42" i="5" s="1"/>
  <c r="X43" i="5"/>
  <c r="Y43" i="5" s="1"/>
  <c r="X31" i="5"/>
  <c r="X18" i="5"/>
  <c r="X19" i="5"/>
  <c r="Y19" i="5" s="1"/>
  <c r="X20" i="5"/>
  <c r="Y20" i="5" s="1"/>
  <c r="X21" i="5"/>
  <c r="Y21" i="5" s="1"/>
  <c r="X22" i="5"/>
  <c r="X23" i="5"/>
  <c r="X24" i="5"/>
  <c r="X25" i="5"/>
  <c r="X26" i="5"/>
  <c r="Y26" i="5" s="1"/>
  <c r="X27" i="5"/>
  <c r="Y27" i="5" s="1"/>
  <c r="X28" i="5"/>
  <c r="Y28" i="5" s="1"/>
  <c r="X29" i="5"/>
  <c r="X17" i="5"/>
  <c r="Y17" i="5" s="1"/>
  <c r="X4" i="5"/>
  <c r="X5" i="5"/>
  <c r="Y5" i="5" s="1"/>
  <c r="X6" i="5"/>
  <c r="X7" i="5"/>
  <c r="X8" i="5"/>
  <c r="Y8" i="5" s="1"/>
  <c r="X9" i="5"/>
  <c r="X10" i="5"/>
  <c r="X11" i="5"/>
  <c r="X12" i="5"/>
  <c r="X13" i="5"/>
  <c r="Y13" i="5" s="1"/>
  <c r="X14" i="5"/>
  <c r="Y14" i="5" s="1"/>
  <c r="X15" i="5"/>
  <c r="Y15" i="5" s="1"/>
  <c r="X3" i="5"/>
  <c r="Y3" i="5" s="1"/>
  <c r="Y4" i="5"/>
  <c r="Y6" i="5"/>
  <c r="Y7" i="5"/>
  <c r="Y9" i="5"/>
  <c r="Y10" i="5"/>
  <c r="Y11" i="5"/>
  <c r="Y12" i="5"/>
  <c r="Y18" i="5"/>
  <c r="Y22" i="5"/>
  <c r="Y23" i="5"/>
  <c r="Y24" i="5"/>
  <c r="Y25" i="5"/>
  <c r="Y29" i="5"/>
  <c r="Y31" i="5"/>
  <c r="Y35" i="5"/>
  <c r="Y36" i="5"/>
  <c r="Y37" i="5"/>
  <c r="Y38" i="5"/>
  <c r="Y39" i="5"/>
  <c r="Y40" i="5"/>
  <c r="Y45" i="5"/>
  <c r="Y46" i="5"/>
  <c r="Y47" i="5"/>
  <c r="Y48" i="5"/>
  <c r="Y51" i="5"/>
  <c r="Y52" i="5"/>
  <c r="Y53" i="5"/>
  <c r="Y54" i="5"/>
  <c r="Y55" i="5"/>
  <c r="Y60" i="5"/>
  <c r="Y62" i="5"/>
  <c r="Y63" i="5"/>
  <c r="Y65" i="5"/>
  <c r="Y66" i="5"/>
  <c r="Y73" i="5"/>
  <c r="Y74" i="5"/>
  <c r="Y78" i="5"/>
  <c r="Y79" i="5"/>
  <c r="Y80" i="5"/>
  <c r="Y81" i="5"/>
  <c r="Y82" i="5"/>
  <c r="Y83" i="5"/>
  <c r="W74" i="5"/>
  <c r="W75" i="5"/>
  <c r="W76" i="5"/>
  <c r="W77" i="5"/>
  <c r="W78" i="5"/>
  <c r="W79" i="5"/>
  <c r="W80" i="5"/>
  <c r="W81" i="5"/>
  <c r="W82" i="5"/>
  <c r="W83" i="5"/>
  <c r="W84" i="5"/>
  <c r="W85" i="5"/>
  <c r="W73" i="5"/>
  <c r="W60" i="5"/>
  <c r="W61" i="5"/>
  <c r="W62" i="5"/>
  <c r="W63" i="5"/>
  <c r="W64" i="5"/>
  <c r="W65" i="5"/>
  <c r="W66" i="5"/>
  <c r="W67" i="5"/>
  <c r="W68" i="5"/>
  <c r="W69" i="5"/>
  <c r="W70" i="5"/>
  <c r="W71" i="5"/>
  <c r="W59" i="5"/>
  <c r="W46" i="5"/>
  <c r="W47" i="5"/>
  <c r="W48" i="5"/>
  <c r="W49" i="5"/>
  <c r="W50" i="5"/>
  <c r="W51" i="5"/>
  <c r="W52" i="5"/>
  <c r="W53" i="5"/>
  <c r="W54" i="5"/>
  <c r="W55" i="5"/>
  <c r="W56" i="5"/>
  <c r="W57" i="5"/>
  <c r="W45" i="5"/>
  <c r="W32" i="5"/>
  <c r="W33" i="5"/>
  <c r="W34" i="5"/>
  <c r="W35" i="5"/>
  <c r="W36" i="5"/>
  <c r="W37" i="5"/>
  <c r="W38" i="5"/>
  <c r="W39" i="5"/>
  <c r="W40" i="5"/>
  <c r="W41" i="5"/>
  <c r="W42" i="5"/>
  <c r="W43" i="5"/>
  <c r="W31" i="5"/>
  <c r="W18" i="5"/>
  <c r="W19" i="5"/>
  <c r="W20" i="5"/>
  <c r="W21" i="5"/>
  <c r="W22" i="5"/>
  <c r="W23" i="5"/>
  <c r="W24" i="5"/>
  <c r="W25" i="5"/>
  <c r="W26" i="5"/>
  <c r="W27" i="5"/>
  <c r="W28" i="5"/>
  <c r="W29" i="5"/>
  <c r="W17" i="5"/>
  <c r="W4" i="5"/>
  <c r="W5" i="5"/>
  <c r="W6" i="5"/>
  <c r="W7" i="5"/>
  <c r="W8" i="5"/>
  <c r="W9" i="5"/>
  <c r="W10" i="5"/>
  <c r="W11" i="5"/>
  <c r="W12" i="5"/>
  <c r="W13" i="5"/>
  <c r="W14" i="5"/>
  <c r="W15" i="5"/>
  <c r="W3" i="5"/>
  <c r="E72" i="8"/>
  <c r="E71" i="8"/>
  <c r="E70" i="8"/>
  <c r="E63" i="8"/>
  <c r="E64" i="8"/>
  <c r="E65" i="8"/>
  <c r="E66" i="8"/>
  <c r="E67" i="8"/>
  <c r="E68" i="8"/>
  <c r="E69" i="8"/>
  <c r="E62" i="8"/>
  <c r="X62" i="4"/>
  <c r="X63" i="4"/>
  <c r="Y63" i="4" s="1"/>
  <c r="X64" i="4"/>
  <c r="Y64" i="4" s="1"/>
  <c r="X65" i="4"/>
  <c r="X66" i="4"/>
  <c r="Y66" i="4" s="1"/>
  <c r="X67" i="4"/>
  <c r="X68" i="4"/>
  <c r="X69" i="4"/>
  <c r="X70" i="4"/>
  <c r="X61" i="4"/>
  <c r="X51" i="4"/>
  <c r="Y51" i="4" s="1"/>
  <c r="X52" i="4"/>
  <c r="Y52" i="4" s="1"/>
  <c r="X53" i="4"/>
  <c r="Y53" i="4" s="1"/>
  <c r="X54" i="4"/>
  <c r="X55" i="4"/>
  <c r="X56" i="4"/>
  <c r="X57" i="4"/>
  <c r="X58" i="4"/>
  <c r="Y58" i="4" s="1"/>
  <c r="X59" i="4"/>
  <c r="X50" i="4"/>
  <c r="Y50" i="4" s="1"/>
  <c r="X40" i="4"/>
  <c r="X41" i="4"/>
  <c r="X42" i="4"/>
  <c r="Y42" i="4" s="1"/>
  <c r="X43" i="4"/>
  <c r="X44" i="4"/>
  <c r="Y44" i="4" s="1"/>
  <c r="X45" i="4"/>
  <c r="X46" i="4"/>
  <c r="Y46" i="4" s="1"/>
  <c r="X47" i="4"/>
  <c r="X48" i="4"/>
  <c r="Y48" i="4" s="1"/>
  <c r="X39" i="4"/>
  <c r="X28" i="4"/>
  <c r="X29" i="4"/>
  <c r="Y29" i="4" s="1"/>
  <c r="X30" i="4"/>
  <c r="Y30" i="4" s="1"/>
  <c r="X31" i="4"/>
  <c r="X32" i="4"/>
  <c r="X33" i="4"/>
  <c r="Y33" i="4" s="1"/>
  <c r="X34" i="4"/>
  <c r="X35" i="4"/>
  <c r="Y35" i="4" s="1"/>
  <c r="X36" i="4"/>
  <c r="Y36" i="4" s="1"/>
  <c r="X37" i="4"/>
  <c r="Y37" i="4" s="1"/>
  <c r="X27" i="4"/>
  <c r="X16" i="4"/>
  <c r="X17" i="4"/>
  <c r="X18" i="4"/>
  <c r="X19" i="4"/>
  <c r="X20" i="4"/>
  <c r="Y20" i="4" s="1"/>
  <c r="X21" i="4"/>
  <c r="X22" i="4"/>
  <c r="X23" i="4"/>
  <c r="X24" i="4"/>
  <c r="X25" i="4"/>
  <c r="X15" i="4"/>
  <c r="X4" i="4"/>
  <c r="Y4" i="4" s="1"/>
  <c r="X5" i="4"/>
  <c r="Y5" i="4" s="1"/>
  <c r="X6" i="4"/>
  <c r="Y6" i="4" s="1"/>
  <c r="X7" i="4"/>
  <c r="X8" i="4"/>
  <c r="Y8" i="4" s="1"/>
  <c r="X9" i="4"/>
  <c r="X10" i="4"/>
  <c r="Y10" i="4" s="1"/>
  <c r="X11" i="4"/>
  <c r="Y11" i="4" s="1"/>
  <c r="X12" i="4"/>
  <c r="Y12" i="4" s="1"/>
  <c r="X13" i="4"/>
  <c r="Y13" i="4" s="1"/>
  <c r="X3" i="4"/>
  <c r="Y3" i="4" s="1"/>
  <c r="Y7" i="4"/>
  <c r="Y9" i="4"/>
  <c r="Y15" i="4"/>
  <c r="Y16" i="4"/>
  <c r="Y17" i="4"/>
  <c r="Y18" i="4"/>
  <c r="Y19" i="4"/>
  <c r="Y21" i="4"/>
  <c r="Y22" i="4"/>
  <c r="Y23" i="4"/>
  <c r="Y24" i="4"/>
  <c r="Y25" i="4"/>
  <c r="Y27" i="4"/>
  <c r="Y28" i="4"/>
  <c r="Y31" i="4"/>
  <c r="Y32" i="4"/>
  <c r="Y34" i="4"/>
  <c r="Y39" i="4"/>
  <c r="Y40" i="4"/>
  <c r="Y41" i="4"/>
  <c r="Y43" i="4"/>
  <c r="Y45" i="4"/>
  <c r="Y47" i="4"/>
  <c r="Y54" i="4"/>
  <c r="Y55" i="4"/>
  <c r="Y56" i="4"/>
  <c r="Y57" i="4"/>
  <c r="Y59" i="4"/>
  <c r="Y61" i="4"/>
  <c r="Y62" i="4"/>
  <c r="Y65" i="4"/>
  <c r="Y67" i="4"/>
  <c r="Y68" i="4"/>
  <c r="Y69" i="4"/>
  <c r="Y70" i="4"/>
  <c r="W62" i="4"/>
  <c r="W63" i="4"/>
  <c r="W64" i="4"/>
  <c r="W65" i="4"/>
  <c r="W66" i="4"/>
  <c r="W67" i="4"/>
  <c r="W68" i="4"/>
  <c r="W69" i="4"/>
  <c r="W70" i="4"/>
  <c r="W61" i="4"/>
  <c r="W51" i="4"/>
  <c r="W52" i="4"/>
  <c r="W53" i="4"/>
  <c r="W54" i="4"/>
  <c r="W55" i="4"/>
  <c r="W56" i="4"/>
  <c r="W57" i="4"/>
  <c r="W58" i="4"/>
  <c r="W59" i="4"/>
  <c r="W50" i="4"/>
  <c r="W40" i="4"/>
  <c r="W41" i="4"/>
  <c r="W42" i="4"/>
  <c r="W43" i="4"/>
  <c r="W44" i="4"/>
  <c r="W45" i="4"/>
  <c r="W46" i="4"/>
  <c r="W47" i="4"/>
  <c r="W48" i="4"/>
  <c r="W39" i="4"/>
  <c r="W28" i="4"/>
  <c r="W29" i="4"/>
  <c r="W30" i="4"/>
  <c r="W31" i="4"/>
  <c r="W32" i="4"/>
  <c r="W33" i="4"/>
  <c r="W34" i="4"/>
  <c r="W35" i="4"/>
  <c r="W36" i="4"/>
  <c r="W37" i="4"/>
  <c r="W27" i="4"/>
  <c r="W16" i="4"/>
  <c r="W17" i="4"/>
  <c r="W18" i="4"/>
  <c r="W19" i="4"/>
  <c r="W20" i="4"/>
  <c r="W21" i="4"/>
  <c r="W22" i="4"/>
  <c r="W23" i="4"/>
  <c r="W24" i="4"/>
  <c r="W25" i="4"/>
  <c r="W15" i="4"/>
  <c r="W4" i="4"/>
  <c r="W5" i="4"/>
  <c r="W6" i="4"/>
  <c r="W7" i="4"/>
  <c r="W8" i="4"/>
  <c r="W9" i="4"/>
  <c r="W10" i="4"/>
  <c r="W11" i="4"/>
  <c r="W12" i="4"/>
  <c r="W13" i="4"/>
  <c r="W3" i="4"/>
  <c r="Q19" i="4"/>
  <c r="Q18" i="4"/>
  <c r="Q17" i="4"/>
  <c r="Q16" i="4"/>
  <c r="Q15" i="4"/>
  <c r="Q13" i="4"/>
  <c r="Q12" i="4"/>
  <c r="Q11" i="4"/>
  <c r="Q10" i="4"/>
  <c r="R10" i="4" s="1"/>
  <c r="Q9" i="4"/>
  <c r="R13" i="4" s="1"/>
  <c r="Q7" i="4"/>
  <c r="Q6" i="4"/>
  <c r="R6" i="4" s="1"/>
  <c r="Q5" i="4"/>
  <c r="Q3" i="4"/>
  <c r="Q4" i="4"/>
  <c r="R4" i="4" s="1"/>
  <c r="R5" i="4"/>
  <c r="E56" i="8"/>
  <c r="E51" i="8"/>
  <c r="E52" i="8"/>
  <c r="E53" i="8"/>
  <c r="E54" i="8"/>
  <c r="E55" i="8"/>
  <c r="E57" i="8"/>
  <c r="E58" i="8"/>
  <c r="E59" i="8"/>
  <c r="E60" i="8"/>
  <c r="E61" i="8"/>
  <c r="E50" i="8"/>
  <c r="E49" i="8"/>
  <c r="E47" i="8"/>
  <c r="E48" i="8"/>
  <c r="E42" i="8"/>
  <c r="E43" i="8"/>
  <c r="E44" i="8"/>
  <c r="E45" i="8"/>
  <c r="E46" i="8"/>
  <c r="E41" i="8"/>
  <c r="X112" i="3"/>
  <c r="X113" i="3"/>
  <c r="X114" i="3"/>
  <c r="Y114" i="3" s="1"/>
  <c r="X115" i="3"/>
  <c r="Y115" i="3" s="1"/>
  <c r="X116" i="3"/>
  <c r="X117" i="3"/>
  <c r="X118" i="3"/>
  <c r="X119" i="3"/>
  <c r="Y119" i="3" s="1"/>
  <c r="X120" i="3"/>
  <c r="Y120" i="3" s="1"/>
  <c r="X121" i="3"/>
  <c r="Y121" i="3" s="1"/>
  <c r="X122" i="3"/>
  <c r="Y122" i="3" s="1"/>
  <c r="X123" i="3"/>
  <c r="X124" i="3"/>
  <c r="X125" i="3"/>
  <c r="X126" i="3"/>
  <c r="Y126" i="3" s="1"/>
  <c r="X127" i="3"/>
  <c r="Y127" i="3" s="1"/>
  <c r="X128" i="3"/>
  <c r="X129" i="3"/>
  <c r="X130" i="3"/>
  <c r="X111" i="3"/>
  <c r="X91" i="3"/>
  <c r="X92" i="3"/>
  <c r="X93" i="3"/>
  <c r="Y93" i="3" s="1"/>
  <c r="X94" i="3"/>
  <c r="X95" i="3"/>
  <c r="Y95" i="3" s="1"/>
  <c r="X96" i="3"/>
  <c r="X97" i="3"/>
  <c r="X98" i="3"/>
  <c r="X99" i="3"/>
  <c r="Y99" i="3" s="1"/>
  <c r="X100" i="3"/>
  <c r="Y100" i="3" s="1"/>
  <c r="X101" i="3"/>
  <c r="Y101" i="3" s="1"/>
  <c r="X102" i="3"/>
  <c r="X103" i="3"/>
  <c r="X104" i="3"/>
  <c r="X105" i="3"/>
  <c r="Y105" i="3" s="1"/>
  <c r="X106" i="3"/>
  <c r="X107" i="3"/>
  <c r="X108" i="3"/>
  <c r="X109" i="3"/>
  <c r="X90" i="3"/>
  <c r="X70" i="3"/>
  <c r="X71" i="3"/>
  <c r="X72" i="3"/>
  <c r="Y72" i="3" s="1"/>
  <c r="X73" i="3"/>
  <c r="Y73" i="3" s="1"/>
  <c r="X74" i="3"/>
  <c r="Y74" i="3" s="1"/>
  <c r="X75" i="3"/>
  <c r="X76" i="3"/>
  <c r="X77" i="3"/>
  <c r="X78" i="3"/>
  <c r="X79" i="3"/>
  <c r="Y79" i="3" s="1"/>
  <c r="X80" i="3"/>
  <c r="Y80" i="3" s="1"/>
  <c r="X81" i="3"/>
  <c r="X82" i="3"/>
  <c r="X83" i="3"/>
  <c r="X84" i="3"/>
  <c r="Y84" i="3" s="1"/>
  <c r="X85" i="3"/>
  <c r="Y85" i="3" s="1"/>
  <c r="X86" i="3"/>
  <c r="Y86" i="3" s="1"/>
  <c r="X87" i="3"/>
  <c r="X88" i="3"/>
  <c r="X69" i="3"/>
  <c r="X48" i="3"/>
  <c r="X49" i="3"/>
  <c r="X50" i="3"/>
  <c r="Y50" i="3" s="1"/>
  <c r="X51" i="3"/>
  <c r="Y51" i="3" s="1"/>
  <c r="X52" i="3"/>
  <c r="Y52" i="3" s="1"/>
  <c r="X53" i="3"/>
  <c r="X54" i="3"/>
  <c r="X55" i="3"/>
  <c r="X56" i="3"/>
  <c r="Y56" i="3" s="1"/>
  <c r="X57" i="3"/>
  <c r="Y57" i="3" s="1"/>
  <c r="X58" i="3"/>
  <c r="Y58" i="3" s="1"/>
  <c r="X59" i="3"/>
  <c r="X60" i="3"/>
  <c r="X61" i="3"/>
  <c r="X62" i="3"/>
  <c r="Y62" i="3" s="1"/>
  <c r="X63" i="3"/>
  <c r="Y63" i="3" s="1"/>
  <c r="X64" i="3"/>
  <c r="X65" i="3"/>
  <c r="X66" i="3"/>
  <c r="X67" i="3"/>
  <c r="X47" i="3"/>
  <c r="Y47" i="3" s="1"/>
  <c r="Y112" i="3"/>
  <c r="Y113" i="3"/>
  <c r="Y116" i="3"/>
  <c r="Y117" i="3"/>
  <c r="Y118" i="3"/>
  <c r="Y123" i="3"/>
  <c r="Y124" i="3"/>
  <c r="Y125" i="3"/>
  <c r="Y128" i="3"/>
  <c r="Y129" i="3"/>
  <c r="Y130" i="3"/>
  <c r="Y111" i="3"/>
  <c r="Y91" i="3"/>
  <c r="Y92" i="3"/>
  <c r="Y94" i="3"/>
  <c r="Y96" i="3"/>
  <c r="Y97" i="3"/>
  <c r="Y98" i="3"/>
  <c r="Y102" i="3"/>
  <c r="Y103" i="3"/>
  <c r="Y104" i="3"/>
  <c r="Y106" i="3"/>
  <c r="Y107" i="3"/>
  <c r="Y108" i="3"/>
  <c r="Y109" i="3"/>
  <c r="Y90" i="3"/>
  <c r="Y70" i="3"/>
  <c r="Y71" i="3"/>
  <c r="Y75" i="3"/>
  <c r="Y76" i="3"/>
  <c r="Y77" i="3"/>
  <c r="Y78" i="3"/>
  <c r="Y81" i="3"/>
  <c r="Y82" i="3"/>
  <c r="Y83" i="3"/>
  <c r="Y87" i="3"/>
  <c r="Y88" i="3"/>
  <c r="Y69" i="3"/>
  <c r="Y48" i="3"/>
  <c r="Y49" i="3"/>
  <c r="Y53" i="3"/>
  <c r="Y54" i="3"/>
  <c r="Y55" i="3"/>
  <c r="Y59" i="3"/>
  <c r="Y60" i="3"/>
  <c r="Y61" i="3"/>
  <c r="Y64" i="3"/>
  <c r="Y65" i="3"/>
  <c r="Y66" i="3"/>
  <c r="Y67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25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3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11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90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69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47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25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3" i="3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21" i="8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Y127" i="2" s="1"/>
  <c r="X108" i="2"/>
  <c r="X88" i="2"/>
  <c r="X89" i="2"/>
  <c r="X90" i="2"/>
  <c r="Y90" i="2" s="1"/>
  <c r="X91" i="2"/>
  <c r="Y91" i="2" s="1"/>
  <c r="X92" i="2"/>
  <c r="Y92" i="2" s="1"/>
  <c r="X93" i="2"/>
  <c r="X94" i="2"/>
  <c r="X95" i="2"/>
  <c r="X96" i="2"/>
  <c r="X97" i="2"/>
  <c r="Y97" i="2" s="1"/>
  <c r="X98" i="2"/>
  <c r="X99" i="2"/>
  <c r="X100" i="2"/>
  <c r="Y100" i="2" s="1"/>
  <c r="X101" i="2"/>
  <c r="X102" i="2"/>
  <c r="X103" i="2"/>
  <c r="X104" i="2"/>
  <c r="Y104" i="2" s="1"/>
  <c r="X105" i="2"/>
  <c r="X106" i="2"/>
  <c r="X87" i="2"/>
  <c r="X67" i="2"/>
  <c r="X68" i="2"/>
  <c r="X69" i="2"/>
  <c r="Y69" i="2" s="1"/>
  <c r="X70" i="2"/>
  <c r="X71" i="2"/>
  <c r="X72" i="2"/>
  <c r="Y72" i="2" s="1"/>
  <c r="X73" i="2"/>
  <c r="X74" i="2"/>
  <c r="Y74" i="2" s="1"/>
  <c r="X75" i="2"/>
  <c r="Y75" i="2" s="1"/>
  <c r="X76" i="2"/>
  <c r="Y76" i="2" s="1"/>
  <c r="X77" i="2"/>
  <c r="X78" i="2"/>
  <c r="X79" i="2"/>
  <c r="X80" i="2"/>
  <c r="X81" i="2"/>
  <c r="X82" i="2"/>
  <c r="Y82" i="2" s="1"/>
  <c r="X83" i="2"/>
  <c r="X84" i="2"/>
  <c r="X85" i="2"/>
  <c r="X66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45" i="2"/>
  <c r="X25" i="2"/>
  <c r="X26" i="2"/>
  <c r="X27" i="2"/>
  <c r="X28" i="2"/>
  <c r="X29" i="2"/>
  <c r="X30" i="2"/>
  <c r="X31" i="2"/>
  <c r="X32" i="2"/>
  <c r="Y32" i="2" s="1"/>
  <c r="X33" i="2"/>
  <c r="X34" i="2"/>
  <c r="Y34" i="2" s="1"/>
  <c r="X35" i="2"/>
  <c r="X36" i="2"/>
  <c r="X37" i="2"/>
  <c r="X38" i="2"/>
  <c r="X39" i="2"/>
  <c r="X40" i="2"/>
  <c r="Y40" i="2" s="1"/>
  <c r="X41" i="2"/>
  <c r="X42" i="2"/>
  <c r="X43" i="2"/>
  <c r="X24" i="2"/>
  <c r="Y24" i="2" s="1"/>
  <c r="X4" i="2"/>
  <c r="X5" i="2"/>
  <c r="X6" i="2"/>
  <c r="X7" i="2"/>
  <c r="X8" i="2"/>
  <c r="X9" i="2"/>
  <c r="X10" i="2"/>
  <c r="X11" i="2"/>
  <c r="X12" i="2"/>
  <c r="Y12" i="2" s="1"/>
  <c r="X13" i="2"/>
  <c r="Y13" i="2" s="1"/>
  <c r="X14" i="2"/>
  <c r="Y14" i="2" s="1"/>
  <c r="X15" i="2"/>
  <c r="X16" i="2"/>
  <c r="X17" i="2"/>
  <c r="X18" i="2"/>
  <c r="X19" i="2"/>
  <c r="X20" i="2"/>
  <c r="Y20" i="2" s="1"/>
  <c r="X21" i="2"/>
  <c r="X22" i="2"/>
  <c r="X3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08" i="2"/>
  <c r="Y88" i="2"/>
  <c r="Y89" i="2"/>
  <c r="Y93" i="2"/>
  <c r="Y94" i="2"/>
  <c r="Y95" i="2"/>
  <c r="Y96" i="2"/>
  <c r="Y98" i="2"/>
  <c r="Y99" i="2"/>
  <c r="Y101" i="2"/>
  <c r="Y102" i="2"/>
  <c r="Y103" i="2"/>
  <c r="Y105" i="2"/>
  <c r="Y106" i="2"/>
  <c r="Y87" i="2"/>
  <c r="Y67" i="2"/>
  <c r="Y68" i="2"/>
  <c r="Y70" i="2"/>
  <c r="Y71" i="2"/>
  <c r="Y73" i="2"/>
  <c r="Y77" i="2"/>
  <c r="Y78" i="2"/>
  <c r="Y79" i="2"/>
  <c r="Y80" i="2"/>
  <c r="Y81" i="2"/>
  <c r="Y83" i="2"/>
  <c r="Y84" i="2"/>
  <c r="Y85" i="2"/>
  <c r="Y66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45" i="2"/>
  <c r="Y25" i="2"/>
  <c r="Y26" i="2"/>
  <c r="Y27" i="2"/>
  <c r="Y28" i="2"/>
  <c r="Y29" i="2"/>
  <c r="Y30" i="2"/>
  <c r="Y31" i="2"/>
  <c r="Y33" i="2"/>
  <c r="Y35" i="2"/>
  <c r="Y36" i="2"/>
  <c r="Y37" i="2"/>
  <c r="Y38" i="2"/>
  <c r="Y39" i="2"/>
  <c r="Y41" i="2"/>
  <c r="Y42" i="2"/>
  <c r="Y43" i="2"/>
  <c r="Y4" i="2"/>
  <c r="Y5" i="2"/>
  <c r="Y6" i="2"/>
  <c r="Y7" i="2"/>
  <c r="Y8" i="2"/>
  <c r="Y9" i="2"/>
  <c r="Y10" i="2"/>
  <c r="Y11" i="2"/>
  <c r="Y15" i="2"/>
  <c r="Y16" i="2"/>
  <c r="Y17" i="2"/>
  <c r="Y18" i="2"/>
  <c r="Y19" i="2"/>
  <c r="Y21" i="2"/>
  <c r="Y22" i="2"/>
  <c r="Y3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08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87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66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45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24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3" i="2"/>
  <c r="R29" i="6"/>
  <c r="R22" i="6"/>
  <c r="R21" i="6"/>
  <c r="Q3" i="6"/>
  <c r="R3" i="6" s="1"/>
  <c r="Q37" i="5"/>
  <c r="R37" i="5" s="1"/>
  <c r="Q36" i="5"/>
  <c r="R36" i="5" s="1"/>
  <c r="R35" i="5"/>
  <c r="Q35" i="5"/>
  <c r="Q34" i="5"/>
  <c r="R34" i="5" s="1"/>
  <c r="Q33" i="5"/>
  <c r="R33" i="5" s="1"/>
  <c r="Q31" i="5"/>
  <c r="R31" i="5" s="1"/>
  <c r="Q30" i="5"/>
  <c r="R30" i="5" s="1"/>
  <c r="Q29" i="5"/>
  <c r="R29" i="5" s="1"/>
  <c r="R28" i="5"/>
  <c r="Q28" i="5"/>
  <c r="Q27" i="5"/>
  <c r="R27" i="5" s="1"/>
  <c r="Q25" i="5"/>
  <c r="R25" i="5" s="1"/>
  <c r="Q24" i="5"/>
  <c r="R24" i="5" s="1"/>
  <c r="Q23" i="5"/>
  <c r="R23" i="5" s="1"/>
  <c r="Q22" i="5"/>
  <c r="R22" i="5" s="1"/>
  <c r="R21" i="5"/>
  <c r="Q21" i="5"/>
  <c r="Q19" i="5"/>
  <c r="R19" i="5" s="1"/>
  <c r="Q18" i="5"/>
  <c r="R18" i="5" s="1"/>
  <c r="Q17" i="5"/>
  <c r="R17" i="5" s="1"/>
  <c r="Q16" i="5"/>
  <c r="R16" i="5" s="1"/>
  <c r="Q15" i="5"/>
  <c r="R15" i="5" s="1"/>
  <c r="R13" i="5"/>
  <c r="Q13" i="5"/>
  <c r="Q12" i="5"/>
  <c r="R12" i="5" s="1"/>
  <c r="Q11" i="5"/>
  <c r="R11" i="5" s="1"/>
  <c r="Q10" i="5"/>
  <c r="R10" i="5" s="1"/>
  <c r="Q9" i="5"/>
  <c r="R9" i="5" s="1"/>
  <c r="Q7" i="5"/>
  <c r="R7" i="5" s="1"/>
  <c r="R6" i="5"/>
  <c r="Q6" i="5"/>
  <c r="Q5" i="5"/>
  <c r="R5" i="5" s="1"/>
  <c r="Q4" i="5"/>
  <c r="R4" i="5" s="1"/>
  <c r="Q3" i="5"/>
  <c r="R3" i="5" s="1"/>
  <c r="Q37" i="4"/>
  <c r="R37" i="4" s="1"/>
  <c r="Q36" i="4"/>
  <c r="R36" i="4" s="1"/>
  <c r="Q35" i="4"/>
  <c r="Q34" i="4"/>
  <c r="Q33" i="4"/>
  <c r="R35" i="4" s="1"/>
  <c r="Q31" i="4"/>
  <c r="R31" i="4" s="1"/>
  <c r="Q30" i="4"/>
  <c r="R30" i="4" s="1"/>
  <c r="Q29" i="4"/>
  <c r="R29" i="4" s="1"/>
  <c r="R28" i="4"/>
  <c r="Q28" i="4"/>
  <c r="R27" i="4"/>
  <c r="Q27" i="4"/>
  <c r="Q25" i="4"/>
  <c r="R25" i="4" s="1"/>
  <c r="Q24" i="4"/>
  <c r="R24" i="4" s="1"/>
  <c r="Q23" i="4"/>
  <c r="R23" i="4" s="1"/>
  <c r="Q22" i="4"/>
  <c r="R22" i="4" s="1"/>
  <c r="R21" i="4"/>
  <c r="Q21" i="4"/>
  <c r="R18" i="4"/>
  <c r="R17" i="4"/>
  <c r="R16" i="4"/>
  <c r="R15" i="4"/>
  <c r="R11" i="4"/>
  <c r="Q37" i="3"/>
  <c r="Q36" i="3"/>
  <c r="Q35" i="3"/>
  <c r="Q34" i="3"/>
  <c r="Q33" i="3"/>
  <c r="R34" i="3" s="1"/>
  <c r="Q31" i="3"/>
  <c r="Q30" i="3"/>
  <c r="Q29" i="3"/>
  <c r="R29" i="3" s="1"/>
  <c r="Q28" i="3"/>
  <c r="R27" i="3"/>
  <c r="Q27" i="3"/>
  <c r="R28" i="3" s="1"/>
  <c r="Q25" i="3"/>
  <c r="R25" i="3" s="1"/>
  <c r="Q24" i="3"/>
  <c r="R24" i="3" s="1"/>
  <c r="Q23" i="3"/>
  <c r="R23" i="3" s="1"/>
  <c r="Q22" i="3"/>
  <c r="R22" i="3" s="1"/>
  <c r="R21" i="3"/>
  <c r="Q21" i="3"/>
  <c r="Q19" i="3"/>
  <c r="Q18" i="3"/>
  <c r="R18" i="3" s="1"/>
  <c r="Q17" i="3"/>
  <c r="R17" i="3" s="1"/>
  <c r="Q16" i="3"/>
  <c r="Q15" i="3"/>
  <c r="R19" i="3" s="1"/>
  <c r="Q13" i="3"/>
  <c r="R13" i="3" s="1"/>
  <c r="Q12" i="3"/>
  <c r="Q11" i="3"/>
  <c r="Q10" i="3"/>
  <c r="Q9" i="3"/>
  <c r="R12" i="3" s="1"/>
  <c r="Q7" i="3"/>
  <c r="Q6" i="3"/>
  <c r="R6" i="3" s="1"/>
  <c r="Q5" i="3"/>
  <c r="Q4" i="3"/>
  <c r="Q3" i="3"/>
  <c r="R3" i="3" s="1"/>
  <c r="Q37" i="2"/>
  <c r="Q36" i="2"/>
  <c r="R36" i="2" s="1"/>
  <c r="Q35" i="2"/>
  <c r="Q34" i="2"/>
  <c r="Q33" i="2"/>
  <c r="Q31" i="2"/>
  <c r="Q30" i="2"/>
  <c r="Q29" i="2"/>
  <c r="Q28" i="2"/>
  <c r="Q27" i="2"/>
  <c r="Q25" i="2"/>
  <c r="R25" i="2" s="1"/>
  <c r="Q24" i="2"/>
  <c r="R24" i="2" s="1"/>
  <c r="Q23" i="2"/>
  <c r="Q22" i="2"/>
  <c r="Q21" i="2"/>
  <c r="Q19" i="2"/>
  <c r="R19" i="2" s="1"/>
  <c r="Q18" i="2"/>
  <c r="Q17" i="2"/>
  <c r="Q16" i="2"/>
  <c r="Q15" i="2"/>
  <c r="R18" i="2" s="1"/>
  <c r="Q13" i="2"/>
  <c r="R13" i="2" s="1"/>
  <c r="Q12" i="2"/>
  <c r="R12" i="2" s="1"/>
  <c r="Q11" i="2"/>
  <c r="R11" i="2" s="1"/>
  <c r="Q10" i="2"/>
  <c r="R10" i="2" s="1"/>
  <c r="Q9" i="2"/>
  <c r="R9" i="2" s="1"/>
  <c r="Q7" i="2"/>
  <c r="Q6" i="2"/>
  <c r="Q5" i="2"/>
  <c r="Q4" i="2"/>
  <c r="Q3" i="2"/>
  <c r="R7" i="2" s="1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6" i="8"/>
  <c r="E5" i="8"/>
  <c r="E3" i="8"/>
  <c r="E4" i="8"/>
  <c r="E2" i="8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X101" i="1"/>
  <c r="W101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82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6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4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2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3" i="1"/>
  <c r="E87" i="8" l="1"/>
  <c r="W3" i="6"/>
  <c r="W16" i="6"/>
  <c r="W13" i="6"/>
  <c r="W12" i="6"/>
  <c r="W11" i="6"/>
  <c r="W24" i="6"/>
  <c r="R10" i="6"/>
  <c r="W10" i="6"/>
  <c r="W23" i="6"/>
  <c r="R25" i="6"/>
  <c r="W9" i="6"/>
  <c r="W22" i="6"/>
  <c r="W8" i="6"/>
  <c r="W7" i="6"/>
  <c r="W6" i="6"/>
  <c r="W5" i="6"/>
  <c r="W4" i="6"/>
  <c r="R28" i="6"/>
  <c r="R4" i="6"/>
  <c r="R16" i="6"/>
  <c r="R17" i="6"/>
  <c r="R18" i="6"/>
  <c r="R6" i="6"/>
  <c r="R19" i="6"/>
  <c r="R30" i="6"/>
  <c r="R7" i="6"/>
  <c r="R31" i="6"/>
  <c r="R13" i="6"/>
  <c r="R11" i="6"/>
  <c r="R23" i="6"/>
  <c r="R24" i="6"/>
  <c r="R9" i="4"/>
  <c r="R7" i="4"/>
  <c r="R37" i="3"/>
  <c r="R4" i="3"/>
  <c r="R16" i="3"/>
  <c r="R10" i="3"/>
  <c r="R11" i="3"/>
  <c r="R30" i="3"/>
  <c r="R5" i="3"/>
  <c r="R7" i="3"/>
  <c r="R31" i="3"/>
  <c r="R35" i="3"/>
  <c r="R36" i="3"/>
  <c r="R27" i="6"/>
  <c r="R9" i="6"/>
  <c r="R3" i="4"/>
  <c r="R33" i="4"/>
  <c r="R12" i="4"/>
  <c r="R19" i="4"/>
  <c r="R34" i="4"/>
  <c r="R9" i="3"/>
  <c r="R15" i="3"/>
  <c r="R33" i="3"/>
  <c r="R34" i="2"/>
  <c r="R37" i="2"/>
  <c r="R33" i="2"/>
  <c r="R35" i="2"/>
  <c r="R30" i="2"/>
  <c r="R27" i="2"/>
  <c r="R29" i="2"/>
  <c r="R28" i="2"/>
  <c r="R31" i="2"/>
  <c r="R23" i="2"/>
  <c r="R21" i="2"/>
  <c r="R22" i="2"/>
  <c r="R16" i="2"/>
  <c r="R15" i="2"/>
  <c r="R17" i="2"/>
  <c r="R3" i="2"/>
  <c r="R5" i="2"/>
  <c r="R4" i="2"/>
  <c r="R6" i="2"/>
  <c r="V102" i="1" l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01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82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6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4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3" i="1"/>
  <c r="P37" i="1"/>
  <c r="Q37" i="1" s="1"/>
  <c r="P36" i="1"/>
  <c r="P35" i="1"/>
  <c r="Q35" i="1" s="1"/>
  <c r="P34" i="1"/>
  <c r="P33" i="1"/>
  <c r="Q33" i="1" s="1"/>
  <c r="P31" i="1"/>
  <c r="P30" i="1"/>
  <c r="P29" i="1"/>
  <c r="Q29" i="1" s="1"/>
  <c r="P28" i="1"/>
  <c r="P27" i="1"/>
  <c r="Q27" i="1" s="1"/>
  <c r="P25" i="1"/>
  <c r="Q25" i="1" s="1"/>
  <c r="P24" i="1"/>
  <c r="Q24" i="1" s="1"/>
  <c r="P23" i="1"/>
  <c r="P22" i="1"/>
  <c r="P21" i="1"/>
  <c r="Q21" i="1" s="1"/>
  <c r="P19" i="1"/>
  <c r="P18" i="1"/>
  <c r="P17" i="1"/>
  <c r="P16" i="1"/>
  <c r="P15" i="1"/>
  <c r="Q15" i="1" s="1"/>
  <c r="P13" i="1"/>
  <c r="P12" i="1"/>
  <c r="P11" i="1"/>
  <c r="P10" i="1"/>
  <c r="Q10" i="1" s="1"/>
  <c r="P9" i="1"/>
  <c r="Q9" i="1" s="1"/>
  <c r="P7" i="1"/>
  <c r="P6" i="1"/>
  <c r="P5" i="1"/>
  <c r="P4" i="1"/>
  <c r="Q4" i="1" s="1"/>
  <c r="P3" i="1"/>
  <c r="Q3" i="1" s="1"/>
  <c r="Q13" i="1" l="1"/>
  <c r="Q28" i="1"/>
  <c r="Q16" i="1"/>
  <c r="Q30" i="1"/>
  <c r="Q17" i="1"/>
  <c r="Q31" i="1"/>
  <c r="Q18" i="1"/>
  <c r="Q19" i="1"/>
  <c r="Q34" i="1"/>
  <c r="Q22" i="1"/>
  <c r="Q36" i="1"/>
  <c r="Q23" i="1"/>
  <c r="Q11" i="1"/>
  <c r="Q12" i="1"/>
  <c r="Q7" i="1"/>
  <c r="Q6" i="1"/>
  <c r="Q5" i="1"/>
</calcChain>
</file>

<file path=xl/sharedStrings.xml><?xml version="1.0" encoding="utf-8"?>
<sst xmlns="http://schemas.openxmlformats.org/spreadsheetml/2006/main" count="1917" uniqueCount="243">
  <si>
    <t>Sample ID</t>
  </si>
  <si>
    <t>Month</t>
  </si>
  <si>
    <t>Present?</t>
  </si>
  <si>
    <t>Plug or Core?</t>
  </si>
  <si>
    <t>Tray #</t>
  </si>
  <si>
    <t>New Tray</t>
  </si>
  <si>
    <t>Comments</t>
  </si>
  <si>
    <t>August</t>
  </si>
  <si>
    <t>y</t>
  </si>
  <si>
    <t>P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</si>
  <si>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</si>
  <si>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</si>
  <si>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</si>
  <si>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</si>
  <si>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</si>
  <si>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</si>
  <si>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</si>
  <si>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</si>
  <si>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</si>
  <si>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</si>
  <si>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</si>
  <si>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</si>
  <si>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</si>
  <si>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</si>
  <si>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</si>
  <si>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</si>
  <si>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</si>
  <si>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</si>
  <si>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</si>
  <si>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</si>
  <si>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</si>
  <si>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</si>
  <si>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aa</t>
  </si>
  <si>
    <t>ab</t>
  </si>
  <si>
    <t>ac</t>
  </si>
  <si>
    <t>ad</t>
  </si>
  <si>
    <t>ae</t>
  </si>
  <si>
    <t>E97163</t>
  </si>
  <si>
    <t>ag</t>
  </si>
  <si>
    <t>ah</t>
  </si>
  <si>
    <t>ai</t>
  </si>
  <si>
    <t>aj</t>
  </si>
  <si>
    <t>ak</t>
  </si>
  <si>
    <t>E97143</t>
  </si>
  <si>
    <t>al</t>
  </si>
  <si>
    <t>E9712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</si>
  <si>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</si>
  <si>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</si>
  <si>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</si>
  <si>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</si>
  <si>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</si>
  <si>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</si>
  <si>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</si>
  <si>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</si>
  <si>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</si>
  <si>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</si>
  <si>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</si>
  <si>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</si>
  <si>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</si>
  <si>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z</t>
  </si>
  <si>
    <t>az</t>
  </si>
  <si>
    <t>E121122</t>
  </si>
  <si>
    <t>ba</t>
  </si>
  <si>
    <t>E12175</t>
  </si>
  <si>
    <t>bb</t>
  </si>
  <si>
    <t>E121184</t>
  </si>
  <si>
    <t>bc</t>
  </si>
  <si>
    <t>E121145</t>
  </si>
  <si>
    <t>bd</t>
  </si>
  <si>
    <t>E12111</t>
  </si>
  <si>
    <t>be</t>
  </si>
  <si>
    <t>bg</t>
  </si>
  <si>
    <t>bh</t>
  </si>
  <si>
    <t>bi</t>
  </si>
  <si>
    <t>bj</t>
  </si>
  <si>
    <t>June</t>
  </si>
  <si>
    <t>C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</si>
  <si>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</si>
  <si>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</si>
  <si>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</si>
  <si>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</si>
  <si>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</si>
  <si>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</si>
  <si>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</si>
  <si>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</si>
  <si>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</si>
  <si>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</si>
  <si>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</si>
  <si>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</si>
  <si>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</si>
  <si>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</si>
  <si>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</si>
  <si>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</si>
  <si>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</si>
  <si>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</si>
  <si>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</si>
  <si>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</si>
  <si>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</si>
  <si>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</si>
  <si>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</si>
  <si>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</si>
  <si>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</si>
  <si>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</si>
  <si>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</si>
  <si>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</si>
  <si>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</si>
  <si>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</si>
  <si>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</si>
  <si>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</si>
  <si>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</si>
  <si>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</si>
  <si>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</si>
  <si>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</si>
  <si>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</si>
  <si>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e 51 3 44</t>
  </si>
  <si>
    <t>Inv_ID</t>
  </si>
  <si>
    <t>Res_Lev</t>
  </si>
  <si>
    <t>PR_Conc</t>
  </si>
  <si>
    <t>A</t>
  </si>
  <si>
    <t>Medium</t>
  </si>
  <si>
    <t>B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</si>
  <si>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</si>
  <si>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</si>
  <si>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</si>
  <si>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</si>
  <si>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</si>
  <si>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</si>
  <si>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</si>
  <si>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</si>
  <si>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</si>
  <si>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</si>
  <si>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</si>
  <si>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</si>
  <si>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Q</t>
  </si>
  <si>
    <t>R</t>
  </si>
  <si>
    <t>S</t>
  </si>
  <si>
    <t>T</t>
  </si>
  <si>
    <t>Resistant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</si>
  <si>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</si>
  <si>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</si>
  <si>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</si>
  <si>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</si>
  <si>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</si>
  <si>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</si>
  <si>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</si>
  <si>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</si>
  <si>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</si>
  <si>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</si>
  <si>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</si>
  <si>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</si>
  <si>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</si>
  <si>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</si>
  <si>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</si>
  <si>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</si>
  <si>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</si>
  <si>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</si>
  <si>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</si>
  <si>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</si>
  <si>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Not Resistant</t>
  </si>
  <si>
    <t>AP</t>
  </si>
  <si>
    <t>AQ</t>
  </si>
  <si>
    <t>AR</t>
  </si>
  <si>
    <t>AS</t>
  </si>
  <si>
    <t>AT</t>
  </si>
  <si>
    <t>AU</t>
  </si>
  <si>
    <t>missing 1 rep for technical issue</t>
  </si>
  <si>
    <t>AV</t>
  </si>
  <si>
    <t>AW</t>
  </si>
  <si>
    <t>missing 3 reps, not enough for rerun</t>
  </si>
  <si>
    <t>AX</t>
  </si>
  <si>
    <t>AY</t>
  </si>
  <si>
    <t>AZ</t>
  </si>
  <si>
    <t>BA</t>
  </si>
  <si>
    <t>BB</t>
  </si>
  <si>
    <t>BC</t>
  </si>
  <si>
    <t>BD</t>
  </si>
  <si>
    <t>BE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</si>
  <si>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</si>
  <si>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</si>
  <si>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</si>
  <si>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</si>
  <si>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</si>
  <si>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</si>
  <si>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</si>
  <si>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</si>
  <si>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</si>
  <si>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</si>
  <si>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</si>
  <si>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</si>
  <si>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</si>
  <si>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</si>
  <si>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</si>
  <si>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</si>
  <si>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</si>
  <si>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</si>
  <si>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</si>
  <si>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</si>
  <si>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</si>
  <si>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</si>
  <si>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</si>
  <si>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</si>
  <si>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</si>
  <si>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</si>
  <si>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</si>
  <si>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</si>
  <si>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</si>
  <si>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</si>
  <si>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</si>
  <si>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</si>
  <si>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</si>
  <si>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</si>
  <si>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</si>
  <si>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</si>
  <si>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</si>
  <si>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</si>
  <si>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</si>
  <si>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</si>
  <si>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STANDARD CURVES</t>
  </si>
  <si>
    <t>SAMPLES</t>
  </si>
  <si>
    <t>AVG Absorbance</t>
  </si>
  <si>
    <t>Corrected AVG</t>
  </si>
  <si>
    <t>Absorbance</t>
  </si>
  <si>
    <t>Corrected Absorbance</t>
  </si>
  <si>
    <t>Concentration (mg/mL)</t>
  </si>
  <si>
    <t>Concentration (mg/g DW)</t>
  </si>
  <si>
    <t>*Not possible</t>
  </si>
  <si>
    <t xml:space="preserve"> (BS MISSING)</t>
  </si>
  <si>
    <t>(BS MISSING)</t>
  </si>
  <si>
    <t>(ALL ANNOTATIONS HERE APPLY TO 5 AND 6)</t>
  </si>
  <si>
    <t>CJ (below)</t>
  </si>
  <si>
    <t>CQ (below)</t>
  </si>
  <si>
    <t>CP (above)</t>
  </si>
  <si>
    <t>CV</t>
  </si>
  <si>
    <t>Resistance Level</t>
  </si>
  <si>
    <t>Comparison</t>
  </si>
  <si>
    <t>Mean Difference</t>
  </si>
  <si>
    <t>Tukey HSD for interaction term</t>
  </si>
  <si>
    <t>Technical Replicates</t>
  </si>
  <si>
    <t>Reason for Removal</t>
  </si>
  <si>
    <t>Technical Issue</t>
  </si>
  <si>
    <t>Too Little Sample Material</t>
  </si>
  <si>
    <t>Too Little Sample Material, Faulty Standard Curve</t>
  </si>
  <si>
    <t>Faulty Standard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</si>
</sst>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rgb="FFE8F3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BCEEA"/>
        <bgColor rgb="FF000000"/>
      </patternFill>
    </fill>
    <fill>
      <patternFill patternType="solid">
        <fgColor rgb="FFBAD7EF"/>
        <bgColor rgb="FF000000"/>
      </patternFill>
    </fill>
    <fill>
      <patternFill patternType="solid">
        <fgColor rgb="FFC9E0F4"/>
        <bgColor rgb="FF000000"/>
      </patternFill>
    </fill>
    <fill>
      <patternFill patternType="solid">
        <fgColor rgb="FF9CC5E5"/>
        <bgColor rgb="FF000000"/>
      </patternFill>
    </fill>
    <fill>
      <patternFill patternType="solid">
        <fgColor rgb="FFD8E9F9"/>
        <bgColor rgb="FF000000"/>
      </patternFill>
    </fill>
    <fill>
      <patternFill patternType="solid">
        <fgColor rgb="FF6FA9D6"/>
        <bgColor rgb="FF000000"/>
      </patternFill>
    </fill>
    <fill>
      <patternFill patternType="solid">
        <fgColor rgb="FF247CBD"/>
        <bgColor rgb="FF000000"/>
      </patternFill>
    </fill>
    <fill>
      <patternFill patternType="solid">
        <fgColor rgb="FF8DBCE0"/>
        <bgColor rgb="FF000000"/>
      </patternFill>
    </fill>
    <fill>
      <patternFill patternType="solid">
        <fgColor rgb="FF3385C2"/>
        <bgColor rgb="FF000000"/>
      </patternFill>
    </fill>
    <fill>
      <patternFill patternType="solid">
        <fgColor rgb="FF7EB2DB"/>
        <bgColor rgb="FF000000"/>
      </patternFill>
    </fill>
    <fill>
      <patternFill patternType="solid">
        <fgColor rgb="FF60A0D1"/>
        <bgColor rgb="FF000000"/>
      </patternFill>
    </fill>
    <fill>
      <patternFill patternType="solid">
        <fgColor rgb="FF5197CC"/>
        <bgColor rgb="FF000000"/>
      </patternFill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 indent="1"/>
    </xf>
    <xf numFmtId="0" fontId="6" fillId="0" borderId="0" xfId="0" applyFont="1"/>
    <xf numFmtId="0" fontId="0" fillId="17" borderId="1" xfId="0" applyFill="1" applyBorder="1" applyAlignment="1">
      <alignment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5" fillId="17" borderId="1" xfId="1" applyFill="1" applyBorder="1" applyAlignment="1">
      <alignment vertical="center" wrapText="1"/>
    </xf>
    <xf numFmtId="0" fontId="3" fillId="17" borderId="1" xfId="1" applyFont="1" applyFill="1" applyBorder="1" applyAlignment="1">
      <alignment horizontal="center" vertical="center" wrapText="1"/>
    </xf>
    <xf numFmtId="0" fontId="4" fillId="18" borderId="1" xfId="1" applyFont="1" applyFill="1" applyBorder="1" applyAlignment="1">
      <alignment horizontal="center" vertical="center" wrapText="1"/>
    </xf>
    <xf numFmtId="0" fontId="4" fillId="19" borderId="1" xfId="1" applyFont="1" applyFill="1" applyBorder="1" applyAlignment="1">
      <alignment horizontal="center" vertical="center" wrapText="1"/>
    </xf>
    <xf numFmtId="0" fontId="4" fillId="20" borderId="1" xfId="1" applyFont="1" applyFill="1" applyBorder="1" applyAlignment="1">
      <alignment horizontal="center" vertical="center" wrapText="1"/>
    </xf>
    <xf numFmtId="0" fontId="4" fillId="25" borderId="1" xfId="1" applyFont="1" applyFill="1" applyBorder="1" applyAlignment="1">
      <alignment horizontal="center" vertical="center" wrapText="1"/>
    </xf>
    <xf numFmtId="0" fontId="4" fillId="26" borderId="1" xfId="1" applyFont="1" applyFill="1" applyBorder="1" applyAlignment="1">
      <alignment horizontal="center" vertical="center" wrapText="1"/>
    </xf>
    <xf numFmtId="0" fontId="4" fillId="22" borderId="1" xfId="1" applyFont="1" applyFill="1" applyBorder="1" applyAlignment="1">
      <alignment horizontal="center" vertical="center" wrapText="1"/>
    </xf>
    <xf numFmtId="0" fontId="4" fillId="21" borderId="1" xfId="1" applyFont="1" applyFill="1" applyBorder="1" applyAlignment="1">
      <alignment horizontal="center" vertical="center" wrapText="1"/>
    </xf>
    <xf numFmtId="0" fontId="4" fillId="23" borderId="1" xfId="1" applyFont="1" applyFill="1" applyBorder="1" applyAlignment="1">
      <alignment horizontal="center" vertical="center" wrapText="1"/>
    </xf>
    <xf numFmtId="0" fontId="4" fillId="24" borderId="1" xfId="1" applyFont="1" applyFill="1" applyBorder="1" applyAlignment="1">
      <alignment horizontal="center" vertical="center" wrapText="1"/>
    </xf>
    <xf numFmtId="0" fontId="4" fillId="27" borderId="1" xfId="1" applyFont="1" applyFill="1" applyBorder="1" applyAlignment="1">
      <alignment horizontal="center" vertical="center" wrapText="1"/>
    </xf>
    <xf numFmtId="0" fontId="4" fillId="28" borderId="1" xfId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4" fillId="19" borderId="3" xfId="0" applyFont="1" applyFill="1" applyBorder="1" applyAlignment="1">
      <alignment horizontal="center" vertical="center" wrapText="1"/>
    </xf>
    <xf numFmtId="0" fontId="4" fillId="19" borderId="6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25" borderId="5" xfId="0" applyFont="1" applyFill="1" applyBorder="1" applyAlignment="1">
      <alignment horizontal="center" vertical="center" wrapText="1"/>
    </xf>
    <xf numFmtId="0" fontId="4" fillId="24" borderId="5" xfId="0" applyFont="1" applyFill="1" applyBorder="1" applyAlignment="1">
      <alignment horizontal="center" vertical="center" wrapText="1"/>
    </xf>
    <xf numFmtId="0" fontId="4" fillId="21" borderId="5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0" fontId="4" fillId="25" borderId="4" xfId="0" applyFont="1" applyFill="1" applyBorder="1" applyAlignment="1">
      <alignment horizontal="center" vertical="center" wrapText="1"/>
    </xf>
    <xf numFmtId="0" fontId="4" fillId="24" borderId="4" xfId="0" applyFont="1" applyFill="1" applyBorder="1" applyAlignment="1">
      <alignment horizontal="center" vertical="center" wrapText="1"/>
    </xf>
    <xf numFmtId="0" fontId="4" fillId="19" borderId="3" xfId="1" applyFont="1" applyFill="1" applyBorder="1" applyAlignment="1">
      <alignment horizontal="center" vertical="center" wrapText="1"/>
    </xf>
    <xf numFmtId="0" fontId="3" fillId="17" borderId="3" xfId="1" applyFont="1" applyFill="1" applyBorder="1" applyAlignment="1">
      <alignment horizontal="center" vertical="center" wrapText="1"/>
    </xf>
    <xf numFmtId="0" fontId="4" fillId="19" borderId="6" xfId="1" applyFont="1" applyFill="1" applyBorder="1" applyAlignment="1">
      <alignment horizontal="center" vertical="center" wrapText="1"/>
    </xf>
    <xf numFmtId="0" fontId="3" fillId="17" borderId="6" xfId="1" applyFont="1" applyFill="1" applyBorder="1" applyAlignment="1">
      <alignment horizontal="center" vertical="center" wrapText="1"/>
    </xf>
    <xf numFmtId="0" fontId="4" fillId="19" borderId="2" xfId="1" applyFont="1" applyFill="1" applyBorder="1" applyAlignment="1">
      <alignment horizontal="center" vertical="center" wrapText="1"/>
    </xf>
    <xf numFmtId="0" fontId="4" fillId="24" borderId="5" xfId="1" applyFont="1" applyFill="1" applyBorder="1" applyAlignment="1">
      <alignment horizontal="center" vertical="center" wrapText="1"/>
    </xf>
    <xf numFmtId="0" fontId="4" fillId="19" borderId="5" xfId="1" applyFont="1" applyFill="1" applyBorder="1" applyAlignment="1">
      <alignment horizontal="center" vertical="center" wrapText="1"/>
    </xf>
    <xf numFmtId="0" fontId="4" fillId="19" borderId="4" xfId="1" applyFont="1" applyFill="1" applyBorder="1" applyAlignment="1">
      <alignment horizontal="center" vertical="center" wrapText="1"/>
    </xf>
    <xf numFmtId="0" fontId="4" fillId="24" borderId="4" xfId="1" applyFont="1" applyFill="1" applyBorder="1" applyAlignment="1">
      <alignment horizontal="center" vertical="center" wrapText="1"/>
    </xf>
    <xf numFmtId="0" fontId="4" fillId="21" borderId="4" xfId="1" applyFont="1" applyFill="1" applyBorder="1" applyAlignment="1">
      <alignment horizontal="center" vertical="center" wrapText="1"/>
    </xf>
    <xf numFmtId="0" fontId="4" fillId="25" borderId="4" xfId="1" applyFont="1" applyFill="1" applyBorder="1" applyAlignment="1">
      <alignment horizontal="center" vertical="center" wrapText="1"/>
    </xf>
    <xf numFmtId="0" fontId="3" fillId="17" borderId="4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5" fillId="0" borderId="0" xfId="0" applyFont="1"/>
    <xf numFmtId="0" fontId="0" fillId="29" borderId="0" xfId="0" applyFill="1"/>
    <xf numFmtId="0" fontId="4" fillId="30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13" xfId="0" applyBorder="1"/>
    <xf numFmtId="0" fontId="0" fillId="0" borderId="12" xfId="0" applyBorder="1"/>
    <xf numFmtId="0" fontId="1" fillId="0" borderId="10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E3CD8FF5-5591-4AC4-BC4A-092525CF87A0}"/>
  </cellStyles>
  <dxfs count="1"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AM!$O$3:$O$7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AM!$Q$3:$Q$7</c:f>
              <c:numCache>
                <c:formatCode>General</c:formatCode>
                <c:ptCount val="5"/>
                <c:pt idx="0">
                  <c:v>0</c:v>
                </c:pt>
                <c:pt idx="1">
                  <c:v>8.1499999999999961E-2</c:v>
                </c:pt>
                <c:pt idx="2">
                  <c:v>0.23149999999999998</c:v>
                </c:pt>
                <c:pt idx="3">
                  <c:v>0.40000000000000008</c:v>
                </c:pt>
                <c:pt idx="4">
                  <c:v>1.0194999999999999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F0-4CC9-A7CD-5087C904F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511520"/>
        <c:axId val="408514352"/>
      </c:scatterChart>
      <c:valAx>
        <c:axId val="183551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514352"/>
        <c:crosses val="autoZero"/>
        <c:crossBetween val="midCat"/>
      </c:valAx>
      <c:valAx>
        <c:axId val="4085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51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AM!$O$9:$O$13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AM!$Q$9:$Q$13</c:f>
              <c:numCache>
                <c:formatCode>General</c:formatCode>
                <c:ptCount val="5"/>
                <c:pt idx="0">
                  <c:v>0</c:v>
                </c:pt>
                <c:pt idx="1">
                  <c:v>0.10549999999999998</c:v>
                </c:pt>
                <c:pt idx="2">
                  <c:v>0.23799999999999999</c:v>
                </c:pt>
                <c:pt idx="3">
                  <c:v>0.38400000000000001</c:v>
                </c:pt>
                <c:pt idx="4">
                  <c:v>0.98099999999999998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75-4AAB-A5D3-401992C64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339376"/>
        <c:axId val="408546032"/>
      </c:scatterChart>
      <c:valAx>
        <c:axId val="183533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546032"/>
        <c:crosses val="autoZero"/>
        <c:crossBetween val="midCat"/>
      </c:valAx>
      <c:valAx>
        <c:axId val="40854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3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AM!$O$15:$O$19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AM!$Q$15:$Q$19</c:f>
              <c:numCache>
                <c:formatCode>General</c:formatCode>
                <c:ptCount val="5"/>
                <c:pt idx="0">
                  <c:v>0</c:v>
                </c:pt>
                <c:pt idx="1">
                  <c:v>8.0500000000000016E-2</c:v>
                </c:pt>
                <c:pt idx="2">
                  <c:v>0.18999999999999995</c:v>
                </c:pt>
                <c:pt idx="3">
                  <c:v>0.40100000000000002</c:v>
                </c:pt>
                <c:pt idx="4">
                  <c:v>1.0445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F-4C24-9F4B-E73827587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966224"/>
        <c:axId val="408642512"/>
      </c:scatterChart>
      <c:valAx>
        <c:axId val="161596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642512"/>
        <c:crosses val="autoZero"/>
        <c:crossBetween val="midCat"/>
      </c:valAx>
      <c:valAx>
        <c:axId val="40864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6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AM!$O$21:$O$25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AM!$Q$21:$Q$25</c:f>
              <c:numCache>
                <c:formatCode>General</c:formatCode>
                <c:ptCount val="5"/>
                <c:pt idx="0">
                  <c:v>0</c:v>
                </c:pt>
                <c:pt idx="1">
                  <c:v>0.17050000000000004</c:v>
                </c:pt>
                <c:pt idx="2">
                  <c:v>0.3010000000000001</c:v>
                </c:pt>
                <c:pt idx="3">
                  <c:v>0.55400000000000005</c:v>
                </c:pt>
                <c:pt idx="4">
                  <c:v>0.88550000000000018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54-45CA-9720-4DDAD097E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354688"/>
        <c:axId val="408673232"/>
      </c:scatterChart>
      <c:valAx>
        <c:axId val="183535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673232"/>
        <c:crosses val="autoZero"/>
        <c:crossBetween val="midCat"/>
      </c:valAx>
      <c:valAx>
        <c:axId val="40867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5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AM!$O$27:$O$31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AM!$Q$27:$Q$31</c:f>
              <c:numCache>
                <c:formatCode>General</c:formatCode>
                <c:ptCount val="5"/>
                <c:pt idx="0">
                  <c:v>0</c:v>
                </c:pt>
                <c:pt idx="1">
                  <c:v>0.15700000000000003</c:v>
                </c:pt>
                <c:pt idx="2">
                  <c:v>0.29049999999999998</c:v>
                </c:pt>
                <c:pt idx="3">
                  <c:v>0.57250000000000001</c:v>
                </c:pt>
                <c:pt idx="4">
                  <c:v>0.92149999999999999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69-4FB3-B948-3A0B4BB20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108544"/>
        <c:axId val="408613232"/>
      </c:scatterChart>
      <c:valAx>
        <c:axId val="149810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613232"/>
        <c:crosses val="autoZero"/>
        <c:crossBetween val="midCat"/>
      </c:valAx>
      <c:valAx>
        <c:axId val="40861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10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AM!$O$33:$O$37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AM!$Q$33:$Q$37</c:f>
              <c:numCache>
                <c:formatCode>General</c:formatCode>
                <c:ptCount val="5"/>
                <c:pt idx="0">
                  <c:v>0</c:v>
                </c:pt>
                <c:pt idx="1">
                  <c:v>0.16700000000000009</c:v>
                </c:pt>
                <c:pt idx="2">
                  <c:v>0.28250000000000003</c:v>
                </c:pt>
                <c:pt idx="3">
                  <c:v>0.56600000000000006</c:v>
                </c:pt>
                <c:pt idx="4">
                  <c:v>0.91599999999999993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97-455A-A593-575571FD5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020048"/>
        <c:axId val="408615632"/>
      </c:scatterChart>
      <c:valAx>
        <c:axId val="161602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615632"/>
        <c:crosses val="autoZero"/>
        <c:crossBetween val="midCat"/>
      </c:valAx>
      <c:valAx>
        <c:axId val="40861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2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AR!$P$3:$P$7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AR!$R$3:$R$7</c:f>
              <c:numCache>
                <c:formatCode>General</c:formatCode>
                <c:ptCount val="5"/>
                <c:pt idx="0">
                  <c:v>0</c:v>
                </c:pt>
                <c:pt idx="1">
                  <c:v>0.11599999999999999</c:v>
                </c:pt>
                <c:pt idx="2">
                  <c:v>0.27800000000000002</c:v>
                </c:pt>
                <c:pt idx="3">
                  <c:v>0.50049999999999994</c:v>
                </c:pt>
                <c:pt idx="4">
                  <c:v>1.226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97-4272-90D2-63BC5F20B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162688"/>
        <c:axId val="408616592"/>
      </c:scatterChart>
      <c:valAx>
        <c:axId val="163716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616592"/>
        <c:crosses val="autoZero"/>
        <c:crossBetween val="midCat"/>
      </c:valAx>
      <c:valAx>
        <c:axId val="40861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6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AR!$P$9:$P$13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AR!$R$9:$R$13</c:f>
              <c:numCache>
                <c:formatCode>General</c:formatCode>
                <c:ptCount val="5"/>
                <c:pt idx="0">
                  <c:v>0</c:v>
                </c:pt>
                <c:pt idx="1">
                  <c:v>7.5000000000000011E-2</c:v>
                </c:pt>
                <c:pt idx="2">
                  <c:v>0.14499999999999996</c:v>
                </c:pt>
                <c:pt idx="3">
                  <c:v>0.48700000000000004</c:v>
                </c:pt>
                <c:pt idx="4">
                  <c:v>1.1585000000000001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F8-45EB-9859-ADEAB185C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360352"/>
        <c:axId val="408533552"/>
      </c:scatterChart>
      <c:valAx>
        <c:axId val="163736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533552"/>
        <c:crosses val="autoZero"/>
        <c:crossBetween val="midCat"/>
      </c:valAx>
      <c:valAx>
        <c:axId val="40853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36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AR!$P$15:$P$19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AR!$R$15:$R$19</c:f>
              <c:numCache>
                <c:formatCode>General</c:formatCode>
                <c:ptCount val="5"/>
                <c:pt idx="0">
                  <c:v>0</c:v>
                </c:pt>
                <c:pt idx="1">
                  <c:v>8.3000000000000018E-2</c:v>
                </c:pt>
                <c:pt idx="2">
                  <c:v>0.19749999999999995</c:v>
                </c:pt>
                <c:pt idx="3">
                  <c:v>0.51049999999999995</c:v>
                </c:pt>
                <c:pt idx="4">
                  <c:v>1.052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BE-4962-8DBD-682C7AFC2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123712"/>
        <c:axId val="408522992"/>
      </c:scatterChart>
      <c:valAx>
        <c:axId val="163712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522992"/>
        <c:crosses val="autoZero"/>
        <c:crossBetween val="midCat"/>
      </c:valAx>
      <c:valAx>
        <c:axId val="40852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2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2004155730533683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AR!$P$21:$P$25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AR!$R$21:$R$25</c:f>
              <c:numCache>
                <c:formatCode>General</c:formatCode>
                <c:ptCount val="5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0.42700000000000005</c:v>
                </c:pt>
                <c:pt idx="4">
                  <c:v>0.72349999999999981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A4-40A3-A72C-1CA04B7A7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131744"/>
        <c:axId val="408653552"/>
      </c:scatterChart>
      <c:valAx>
        <c:axId val="149813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653552"/>
        <c:crosses val="autoZero"/>
        <c:crossBetween val="midCat"/>
      </c:valAx>
      <c:valAx>
        <c:axId val="40865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13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AR!$P$27:$P$31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AR!$R$27:$R$31</c:f>
              <c:numCache>
                <c:formatCode>General</c:formatCode>
                <c:ptCount val="5"/>
                <c:pt idx="0">
                  <c:v>0</c:v>
                </c:pt>
                <c:pt idx="1">
                  <c:v>0.13800000000000001</c:v>
                </c:pt>
                <c:pt idx="2">
                  <c:v>0.25749999999999995</c:v>
                </c:pt>
                <c:pt idx="3">
                  <c:v>0.40299999999999991</c:v>
                </c:pt>
                <c:pt idx="4">
                  <c:v>0.70400000000000007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F2-46C1-BD04-CF1E700F1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290192"/>
        <c:axId val="408552272"/>
      </c:scatterChart>
      <c:valAx>
        <c:axId val="183529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552272"/>
        <c:crosses val="autoZero"/>
        <c:crossBetween val="midCat"/>
      </c:valAx>
      <c:valAx>
        <c:axId val="40855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29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AR!$P$33:$P$37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AR!$R$33:$R$37</c:f>
              <c:numCache>
                <c:formatCode>General</c:formatCode>
                <c:ptCount val="5"/>
                <c:pt idx="0">
                  <c:v>0</c:v>
                </c:pt>
                <c:pt idx="1">
                  <c:v>0.14349999999999996</c:v>
                </c:pt>
                <c:pt idx="2">
                  <c:v>0.25549999999999995</c:v>
                </c:pt>
                <c:pt idx="3">
                  <c:v>0.40549999999999997</c:v>
                </c:pt>
                <c:pt idx="4">
                  <c:v>0.71749999999999992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CB-4C4B-B2AC-DB916E4EF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228576"/>
        <c:axId val="408527792"/>
      </c:scatterChart>
      <c:valAx>
        <c:axId val="163722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527792"/>
        <c:crosses val="autoZero"/>
        <c:crossBetween val="midCat"/>
      </c:valAx>
      <c:valAx>
        <c:axId val="40852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22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ANR!$P$3:$P$7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ANR!$R$3:$R$7</c:f>
              <c:numCache>
                <c:formatCode>General</c:formatCode>
                <c:ptCount val="5"/>
                <c:pt idx="0">
                  <c:v>0</c:v>
                </c:pt>
                <c:pt idx="1">
                  <c:v>0.11749999999999994</c:v>
                </c:pt>
                <c:pt idx="2">
                  <c:v>0.20999999999999996</c:v>
                </c:pt>
                <c:pt idx="3">
                  <c:v>0.49299999999999999</c:v>
                </c:pt>
                <c:pt idx="4">
                  <c:v>0.86099999999999999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77-4894-93A5-71C2DBF89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514768"/>
        <c:axId val="408679952"/>
      </c:scatterChart>
      <c:valAx>
        <c:axId val="183551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679952"/>
        <c:crosses val="autoZero"/>
        <c:crossBetween val="midCat"/>
      </c:valAx>
      <c:valAx>
        <c:axId val="40867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51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ANR!$P$9:$P$13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ANR!$R$9:$R$13</c:f>
              <c:numCache>
                <c:formatCode>General</c:formatCode>
                <c:ptCount val="5"/>
                <c:pt idx="0">
                  <c:v>0</c:v>
                </c:pt>
                <c:pt idx="1">
                  <c:v>0.1750000000000001</c:v>
                </c:pt>
                <c:pt idx="2">
                  <c:v>0.16850000000000004</c:v>
                </c:pt>
                <c:pt idx="3">
                  <c:v>0.50299999999999989</c:v>
                </c:pt>
                <c:pt idx="4">
                  <c:v>1.0419999999999998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8-4EFF-ACB3-F4CAF2342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145520"/>
        <c:axId val="408683792"/>
      </c:scatterChart>
      <c:valAx>
        <c:axId val="163714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683792"/>
        <c:crosses val="autoZero"/>
        <c:crossBetween val="midCat"/>
      </c:valAx>
      <c:valAx>
        <c:axId val="40868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4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ANR!$P$15:$P$19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ANR!$R$15:$R$19</c:f>
              <c:numCache>
                <c:formatCode>General</c:formatCode>
                <c:ptCount val="5"/>
                <c:pt idx="0">
                  <c:v>0</c:v>
                </c:pt>
                <c:pt idx="1">
                  <c:v>0.11350000000000005</c:v>
                </c:pt>
                <c:pt idx="2">
                  <c:v>0.252</c:v>
                </c:pt>
                <c:pt idx="3">
                  <c:v>0.5575</c:v>
                </c:pt>
                <c:pt idx="4">
                  <c:v>0.99050000000000005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0C-4077-9DCE-5378B30A3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217904"/>
        <c:axId val="408527312"/>
      </c:scatterChart>
      <c:valAx>
        <c:axId val="163721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527312"/>
        <c:crosses val="autoZero"/>
        <c:crossBetween val="midCat"/>
      </c:valAx>
      <c:valAx>
        <c:axId val="4085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217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ANR!$P$21:$P$25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ANR!$R$21:$R$25</c:f>
              <c:numCache>
                <c:formatCode>General</c:formatCode>
                <c:ptCount val="5"/>
                <c:pt idx="0">
                  <c:v>0</c:v>
                </c:pt>
                <c:pt idx="1">
                  <c:v>0.13750000000000001</c:v>
                </c:pt>
                <c:pt idx="2">
                  <c:v>0.25950000000000001</c:v>
                </c:pt>
                <c:pt idx="3">
                  <c:v>0.53200000000000003</c:v>
                </c:pt>
                <c:pt idx="4">
                  <c:v>0.90749999999999997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95-4FB6-8286-DBA7C108A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447168"/>
        <c:axId val="408673712"/>
      </c:scatterChart>
      <c:valAx>
        <c:axId val="55644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673712"/>
        <c:crosses val="autoZero"/>
        <c:crossBetween val="midCat"/>
      </c:valAx>
      <c:valAx>
        <c:axId val="40867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44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ANR!$P$27:$P$31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ANR!$R$27:$R$31</c:f>
              <c:numCache>
                <c:formatCode>General</c:formatCode>
                <c:ptCount val="5"/>
                <c:pt idx="0">
                  <c:v>0</c:v>
                </c:pt>
                <c:pt idx="1">
                  <c:v>0.15649999999999997</c:v>
                </c:pt>
                <c:pt idx="2">
                  <c:v>0.2619999999999999</c:v>
                </c:pt>
                <c:pt idx="3">
                  <c:v>0.52549999999999997</c:v>
                </c:pt>
                <c:pt idx="4">
                  <c:v>0.85599999999999998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26-46DB-8491-1BC8864C0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143200"/>
        <c:axId val="408452912"/>
      </c:scatterChart>
      <c:valAx>
        <c:axId val="163714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52912"/>
        <c:crosses val="autoZero"/>
        <c:crossBetween val="midCat"/>
      </c:valAx>
      <c:valAx>
        <c:axId val="40845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43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ANR!$P$33:$P$37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ANR!$R$33:$R$37</c:f>
              <c:numCache>
                <c:formatCode>General</c:formatCode>
                <c:ptCount val="5"/>
                <c:pt idx="0">
                  <c:v>0</c:v>
                </c:pt>
                <c:pt idx="1">
                  <c:v>0.15500000000000003</c:v>
                </c:pt>
                <c:pt idx="2">
                  <c:v>0.26849999999999996</c:v>
                </c:pt>
                <c:pt idx="3">
                  <c:v>0.53700000000000003</c:v>
                </c:pt>
                <c:pt idx="4">
                  <c:v>0.85200000000000009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96-4AEA-B3BD-082519B93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291680"/>
        <c:axId val="1112482576"/>
      </c:scatterChart>
      <c:valAx>
        <c:axId val="163729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82576"/>
        <c:crosses val="autoZero"/>
        <c:crossBetween val="midCat"/>
      </c:valAx>
      <c:valAx>
        <c:axId val="111248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29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JM!$P$3:$P$7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JM!$R$3:$R$7</c:f>
              <c:numCache>
                <c:formatCode>General</c:formatCode>
                <c:ptCount val="5"/>
                <c:pt idx="0">
                  <c:v>0</c:v>
                </c:pt>
                <c:pt idx="1">
                  <c:v>0.16766666666666669</c:v>
                </c:pt>
                <c:pt idx="2">
                  <c:v>0.34900000000000003</c:v>
                </c:pt>
                <c:pt idx="3">
                  <c:v>0.57333333333333347</c:v>
                </c:pt>
                <c:pt idx="4">
                  <c:v>1.0523333333333333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62-4DEF-95BE-60FE6704E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89248"/>
        <c:axId val="1112463856"/>
      </c:scatterChart>
      <c:valAx>
        <c:axId val="19898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63856"/>
        <c:crosses val="autoZero"/>
        <c:crossBetween val="midCat"/>
      </c:valAx>
      <c:valAx>
        <c:axId val="11124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8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JM!$P$9:$P$13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JM!$R$9:$R$13</c:f>
              <c:numCache>
                <c:formatCode>General</c:formatCode>
                <c:ptCount val="5"/>
                <c:pt idx="0">
                  <c:v>0</c:v>
                </c:pt>
                <c:pt idx="1">
                  <c:v>0.14233333333333337</c:v>
                </c:pt>
                <c:pt idx="2">
                  <c:v>0.35899999999999999</c:v>
                </c:pt>
                <c:pt idx="3">
                  <c:v>0.65833333333333344</c:v>
                </c:pt>
                <c:pt idx="4">
                  <c:v>1.026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3B-4E54-B763-3AA8537A9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421040"/>
        <c:axId val="1112448496"/>
      </c:scatterChart>
      <c:valAx>
        <c:axId val="151642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48496"/>
        <c:crosses val="autoZero"/>
        <c:crossBetween val="midCat"/>
      </c:valAx>
      <c:valAx>
        <c:axId val="11124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2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JM!$P$15:$P$19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JM!$R$15:$R$19</c:f>
              <c:numCache>
                <c:formatCode>General</c:formatCode>
                <c:ptCount val="5"/>
                <c:pt idx="0">
                  <c:v>0</c:v>
                </c:pt>
                <c:pt idx="1">
                  <c:v>0.19266666666666671</c:v>
                </c:pt>
                <c:pt idx="2">
                  <c:v>0.35299999999999992</c:v>
                </c:pt>
                <c:pt idx="3">
                  <c:v>0.6183333333333334</c:v>
                </c:pt>
                <c:pt idx="4">
                  <c:v>1.0379999999999998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62-4350-9C39-9916606FF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299936"/>
        <c:axId val="1112443216"/>
      </c:scatterChart>
      <c:valAx>
        <c:axId val="183529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43216"/>
        <c:crosses val="autoZero"/>
        <c:crossBetween val="midCat"/>
      </c:valAx>
      <c:valAx>
        <c:axId val="111244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29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JM!$P$21:$P$25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JM!$R$21:$R$25</c:f>
              <c:numCache>
                <c:formatCode>General</c:formatCode>
                <c:ptCount val="5"/>
                <c:pt idx="0">
                  <c:v>0</c:v>
                </c:pt>
                <c:pt idx="1">
                  <c:v>0.15900000000000003</c:v>
                </c:pt>
                <c:pt idx="2">
                  <c:v>0.26050000000000006</c:v>
                </c:pt>
                <c:pt idx="3">
                  <c:v>0.48650000000000004</c:v>
                </c:pt>
                <c:pt idx="4">
                  <c:v>0.9345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40-4880-B9DF-D8A50F24E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495744"/>
        <c:axId val="1112430256"/>
      </c:scatterChart>
      <c:valAx>
        <c:axId val="183549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30256"/>
        <c:crosses val="autoZero"/>
        <c:crossBetween val="midCat"/>
      </c:valAx>
      <c:valAx>
        <c:axId val="111243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49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JM!$P$27:$P$31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JM!$R$27:$R$31</c:f>
              <c:numCache>
                <c:formatCode>General</c:formatCode>
                <c:ptCount val="5"/>
                <c:pt idx="0">
                  <c:v>0</c:v>
                </c:pt>
                <c:pt idx="1">
                  <c:v>0.18150000000000011</c:v>
                </c:pt>
                <c:pt idx="2">
                  <c:v>0.28149999999999997</c:v>
                </c:pt>
                <c:pt idx="3">
                  <c:v>0.44499999999999995</c:v>
                </c:pt>
                <c:pt idx="4">
                  <c:v>0.88149999999999984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F0-4508-8A07-C2B43E246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420112"/>
        <c:axId val="1112494576"/>
      </c:scatterChart>
      <c:valAx>
        <c:axId val="151642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94576"/>
        <c:crosses val="autoZero"/>
        <c:crossBetween val="midCat"/>
      </c:valAx>
      <c:valAx>
        <c:axId val="111249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2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JM!$P$33:$P$37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JM!$R$33:$R$37</c:f>
              <c:numCache>
                <c:formatCode>General</c:formatCode>
                <c:ptCount val="5"/>
                <c:pt idx="0">
                  <c:v>0</c:v>
                </c:pt>
                <c:pt idx="1">
                  <c:v>0.17499999999999993</c:v>
                </c:pt>
                <c:pt idx="2">
                  <c:v>0.25600000000000001</c:v>
                </c:pt>
                <c:pt idx="3">
                  <c:v>0.35550000000000004</c:v>
                </c:pt>
                <c:pt idx="4">
                  <c:v>0.93300000000000016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CE-433E-9CF0-471C99468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73280"/>
        <c:axId val="1112405776"/>
      </c:scatterChart>
      <c:valAx>
        <c:axId val="8727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05776"/>
        <c:crosses val="autoZero"/>
        <c:crossBetween val="midCat"/>
      </c:valAx>
      <c:valAx>
        <c:axId val="111240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73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JR!$P$3:$P$7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JR!$R$3:$R$7</c:f>
              <c:numCache>
                <c:formatCode>General</c:formatCode>
                <c:ptCount val="5"/>
                <c:pt idx="0">
                  <c:v>0</c:v>
                </c:pt>
                <c:pt idx="1">
                  <c:v>0.16449999999999987</c:v>
                </c:pt>
                <c:pt idx="2">
                  <c:v>0.25900000000000001</c:v>
                </c:pt>
                <c:pt idx="3">
                  <c:v>0.47849999999999993</c:v>
                </c:pt>
                <c:pt idx="4">
                  <c:v>0.93649999999999989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73-4D0F-9CCF-5C736CD8D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56112"/>
        <c:axId val="1112489296"/>
      </c:scatterChart>
      <c:valAx>
        <c:axId val="8725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89296"/>
        <c:crosses val="autoZero"/>
        <c:crossBetween val="midCat"/>
      </c:valAx>
      <c:valAx>
        <c:axId val="111248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5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JR!$P$9:$P$13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JR!$R$9:$R$13</c:f>
              <c:numCache>
                <c:formatCode>General</c:formatCode>
                <c:ptCount val="5"/>
                <c:pt idx="0">
                  <c:v>0</c:v>
                </c:pt>
                <c:pt idx="1">
                  <c:v>0.14550000000000002</c:v>
                </c:pt>
                <c:pt idx="2">
                  <c:v>0.26350000000000001</c:v>
                </c:pt>
                <c:pt idx="3">
                  <c:v>0.46</c:v>
                </c:pt>
                <c:pt idx="4">
                  <c:v>0.92300000000000004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6B-45DB-AB99-D064EA75F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040336"/>
        <c:axId val="1112448976"/>
      </c:scatterChart>
      <c:valAx>
        <c:axId val="149804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48976"/>
        <c:crosses val="autoZero"/>
        <c:crossBetween val="midCat"/>
      </c:valAx>
      <c:valAx>
        <c:axId val="111244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4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JR!$P$15:$P$19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JR!$R$15:$R$19</c:f>
              <c:numCache>
                <c:formatCode>General</c:formatCode>
                <c:ptCount val="5"/>
                <c:pt idx="0">
                  <c:v>0</c:v>
                </c:pt>
                <c:pt idx="1">
                  <c:v>0.15000000000000008</c:v>
                </c:pt>
                <c:pt idx="2">
                  <c:v>0.26550000000000001</c:v>
                </c:pt>
                <c:pt idx="3">
                  <c:v>0.46949999999999997</c:v>
                </c:pt>
                <c:pt idx="4">
                  <c:v>0.88800000000000012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E7-4A85-99E2-A74FC6543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435424"/>
        <c:axId val="1112453776"/>
      </c:scatterChart>
      <c:valAx>
        <c:axId val="183543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53776"/>
        <c:crosses val="autoZero"/>
        <c:crossBetween val="midCat"/>
      </c:valAx>
      <c:valAx>
        <c:axId val="111245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43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JR!$P$21:$P$25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JR!$R$21:$R$25</c:f>
              <c:numCache>
                <c:formatCode>General</c:formatCode>
                <c:ptCount val="5"/>
                <c:pt idx="0">
                  <c:v>0</c:v>
                </c:pt>
                <c:pt idx="1">
                  <c:v>0.13750000000000001</c:v>
                </c:pt>
                <c:pt idx="2">
                  <c:v>0.25950000000000001</c:v>
                </c:pt>
                <c:pt idx="3">
                  <c:v>0.53200000000000003</c:v>
                </c:pt>
                <c:pt idx="4">
                  <c:v>0.90749999999999997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C9-4CC8-8023-6CEB6C828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305600"/>
        <c:axId val="1112418256"/>
      </c:scatterChart>
      <c:valAx>
        <c:axId val="163730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18256"/>
        <c:crosses val="autoZero"/>
        <c:crossBetween val="midCat"/>
      </c:valAx>
      <c:valAx>
        <c:axId val="111241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30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JR!$P$27:$P$31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JR!$R$27:$R$31</c:f>
              <c:numCache>
                <c:formatCode>General</c:formatCode>
                <c:ptCount val="5"/>
                <c:pt idx="0">
                  <c:v>0</c:v>
                </c:pt>
                <c:pt idx="1">
                  <c:v>0.15649999999999997</c:v>
                </c:pt>
                <c:pt idx="2">
                  <c:v>0.2619999999999999</c:v>
                </c:pt>
                <c:pt idx="3">
                  <c:v>0.52549999999999997</c:v>
                </c:pt>
                <c:pt idx="4">
                  <c:v>0.85599999999999998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8-4554-B0A0-DBBF63A8E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970240"/>
        <c:axId val="1112450896"/>
      </c:scatterChart>
      <c:valAx>
        <c:axId val="165897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50896"/>
        <c:crosses val="autoZero"/>
        <c:crossBetween val="midCat"/>
      </c:valAx>
      <c:valAx>
        <c:axId val="111245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97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JR!$P$33:$P$37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JR!$R$33:$R$37</c:f>
              <c:numCache>
                <c:formatCode>General</c:formatCode>
                <c:ptCount val="5"/>
                <c:pt idx="0">
                  <c:v>0</c:v>
                </c:pt>
                <c:pt idx="1">
                  <c:v>0.15500000000000003</c:v>
                </c:pt>
                <c:pt idx="2">
                  <c:v>0.26849999999999996</c:v>
                </c:pt>
                <c:pt idx="3">
                  <c:v>0.53700000000000003</c:v>
                </c:pt>
                <c:pt idx="4">
                  <c:v>0.85200000000000009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29-4379-A9BD-14A4A8705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875120"/>
        <c:axId val="1112465296"/>
      </c:scatterChart>
      <c:valAx>
        <c:axId val="165887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65296"/>
        <c:crosses val="autoZero"/>
        <c:crossBetween val="midCat"/>
      </c:valAx>
      <c:valAx>
        <c:axId val="11124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87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JNR!$P$3:$P$7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JNR!$R$3:$R$7</c:f>
              <c:numCache>
                <c:formatCode>General</c:formatCode>
                <c:ptCount val="5"/>
                <c:pt idx="0">
                  <c:v>0</c:v>
                </c:pt>
                <c:pt idx="1">
                  <c:v>6.6500000000000004E-2</c:v>
                </c:pt>
                <c:pt idx="2">
                  <c:v>0.34349999999999997</c:v>
                </c:pt>
                <c:pt idx="3">
                  <c:v>0.5535000000000001</c:v>
                </c:pt>
                <c:pt idx="4">
                  <c:v>0.96000000000000019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49-4CB3-8CB2-6223CAFAB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965136"/>
        <c:axId val="1112479216"/>
      </c:scatterChart>
      <c:valAx>
        <c:axId val="165896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79216"/>
        <c:crosses val="autoZero"/>
        <c:crossBetween val="midCat"/>
      </c:valAx>
      <c:valAx>
        <c:axId val="11124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965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JNR!$P$9:$P$13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JNR!$R$9:$R$13</c:f>
              <c:numCache>
                <c:formatCode>General</c:formatCode>
                <c:ptCount val="5"/>
                <c:pt idx="0">
                  <c:v>0</c:v>
                </c:pt>
                <c:pt idx="1">
                  <c:v>0.23100000000000004</c:v>
                </c:pt>
                <c:pt idx="2">
                  <c:v>0.35749999999999998</c:v>
                </c:pt>
                <c:pt idx="3">
                  <c:v>0.58750000000000013</c:v>
                </c:pt>
                <c:pt idx="4">
                  <c:v>0.93450000000000011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0F-437B-9177-43A9CF91A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955856"/>
        <c:axId val="1112469616"/>
      </c:scatterChart>
      <c:valAx>
        <c:axId val="165895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69616"/>
        <c:crosses val="autoZero"/>
        <c:crossBetween val="midCat"/>
      </c:valAx>
      <c:valAx>
        <c:axId val="111246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95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JNR!$P$15:$P$19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JNR!$R$15:$R$19</c:f>
              <c:numCache>
                <c:formatCode>General</c:formatCode>
                <c:ptCount val="5"/>
                <c:pt idx="0">
                  <c:v>0</c:v>
                </c:pt>
                <c:pt idx="1">
                  <c:v>0.15900000000000003</c:v>
                </c:pt>
                <c:pt idx="2">
                  <c:v>0.26050000000000006</c:v>
                </c:pt>
                <c:pt idx="3">
                  <c:v>0.48650000000000004</c:v>
                </c:pt>
                <c:pt idx="4">
                  <c:v>0.9345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54-4157-B041-F014E4861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73744"/>
        <c:axId val="1112433136"/>
      </c:scatterChart>
      <c:valAx>
        <c:axId val="8727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33136"/>
        <c:crosses val="autoZero"/>
        <c:crossBetween val="midCat"/>
      </c:valAx>
      <c:valAx>
        <c:axId val="111243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7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JNR!$P$21:$P$25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JNR!$R$21:$R$25</c:f>
              <c:numCache>
                <c:formatCode>General</c:formatCode>
                <c:ptCount val="5"/>
                <c:pt idx="0">
                  <c:v>0</c:v>
                </c:pt>
                <c:pt idx="1">
                  <c:v>0.18150000000000011</c:v>
                </c:pt>
                <c:pt idx="2">
                  <c:v>0.28149999999999997</c:v>
                </c:pt>
                <c:pt idx="3">
                  <c:v>0.44499999999999995</c:v>
                </c:pt>
                <c:pt idx="4">
                  <c:v>0.88149999999999984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8E-4AB2-8484-7E1F397E2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51936"/>
        <c:axId val="1112404816"/>
      </c:scatterChart>
      <c:valAx>
        <c:axId val="8725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04816"/>
        <c:crosses val="autoZero"/>
        <c:crossBetween val="midCat"/>
      </c:valAx>
      <c:valAx>
        <c:axId val="111240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5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JNR!$P$27:$P$31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</c:numCache>
            </c:numRef>
          </c:xVal>
          <c:yVal>
            <c:numRef>
              <c:f>JNR!$R$27:$R$31</c:f>
              <c:numCache>
                <c:formatCode>General</c:formatCode>
                <c:ptCount val="5"/>
                <c:pt idx="0">
                  <c:v>0</c:v>
                </c:pt>
                <c:pt idx="1">
                  <c:v>0.17499999999999993</c:v>
                </c:pt>
                <c:pt idx="2">
                  <c:v>0.25600000000000001</c:v>
                </c:pt>
                <c:pt idx="3">
                  <c:v>0.35550000000000004</c:v>
                </c:pt>
                <c:pt idx="4">
                  <c:v>0.93300000000000016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3B-4B0F-A080-9ACB8B242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970240"/>
        <c:axId val="1520741040"/>
      </c:scatterChart>
      <c:valAx>
        <c:axId val="165897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741040"/>
        <c:crosses val="autoZero"/>
        <c:crossBetween val="midCat"/>
      </c:valAx>
      <c:valAx>
        <c:axId val="152074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97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62</xdr:row>
      <xdr:rowOff>9524</xdr:rowOff>
    </xdr:from>
    <xdr:to>
      <xdr:col>8</xdr:col>
      <xdr:colOff>28575</xdr:colOff>
      <xdr:row>77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2A6E5-3F11-10CB-CCCD-975203ACB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9524</xdr:colOff>
      <xdr:row>62</xdr:row>
      <xdr:rowOff>19049</xdr:rowOff>
    </xdr:from>
    <xdr:to>
      <xdr:col>15</xdr:col>
      <xdr:colOff>1219199</xdr:colOff>
      <xdr:row>77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D27C6D-CC8D-D7ED-A0EA-287CE4F83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9524</xdr:colOff>
      <xdr:row>80</xdr:row>
      <xdr:rowOff>9524</xdr:rowOff>
    </xdr:from>
    <xdr:to>
      <xdr:col>8</xdr:col>
      <xdr:colOff>47624</xdr:colOff>
      <xdr:row>95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6D5AB7-EF36-892A-1EDF-0037A2FB0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28574</xdr:colOff>
      <xdr:row>80</xdr:row>
      <xdr:rowOff>47624</xdr:rowOff>
    </xdr:from>
    <xdr:to>
      <xdr:col>15</xdr:col>
      <xdr:colOff>1238249</xdr:colOff>
      <xdr:row>95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2DDC7B-22D7-BA8C-2FFB-1DB2C5321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638174</xdr:colOff>
      <xdr:row>97</xdr:row>
      <xdr:rowOff>38099</xdr:rowOff>
    </xdr:from>
    <xdr:to>
      <xdr:col>8</xdr:col>
      <xdr:colOff>28574</xdr:colOff>
      <xdr:row>112</xdr:row>
      <xdr:rowOff>66674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0AC8F2-7343-67BB-9736-8CD08E750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19049</xdr:colOff>
      <xdr:row>97</xdr:row>
      <xdr:rowOff>19049</xdr:rowOff>
    </xdr:from>
    <xdr:to>
      <xdr:col>15</xdr:col>
      <xdr:colOff>1228724</xdr:colOff>
      <xdr:row>112</xdr:row>
      <xdr:rowOff>47624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C13FF3-2B81-359D-AE01-39A7D6AA0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647699</xdr:colOff>
      <xdr:row>62</xdr:row>
      <xdr:rowOff>38099</xdr:rowOff>
    </xdr:from>
    <xdr:to>
      <xdr:col>8</xdr:col>
      <xdr:colOff>38099</xdr:colOff>
      <xdr:row>77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A1532B-C63D-046C-9804-C9656AE42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47624</xdr:colOff>
      <xdr:row>62</xdr:row>
      <xdr:rowOff>57149</xdr:rowOff>
    </xdr:from>
    <xdr:to>
      <xdr:col>16</xdr:col>
      <xdr:colOff>733424</xdr:colOff>
      <xdr:row>77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6C006C-52F2-2524-D35F-FA0FEF299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9524</xdr:colOff>
      <xdr:row>80</xdr:row>
      <xdr:rowOff>47624</xdr:rowOff>
    </xdr:from>
    <xdr:to>
      <xdr:col>8</xdr:col>
      <xdr:colOff>47624</xdr:colOff>
      <xdr:row>95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289337-A1E2-AB02-C6EB-7A19D5A82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28574</xdr:colOff>
      <xdr:row>80</xdr:row>
      <xdr:rowOff>28574</xdr:rowOff>
    </xdr:from>
    <xdr:to>
      <xdr:col>16</xdr:col>
      <xdr:colOff>714374</xdr:colOff>
      <xdr:row>95</xdr:row>
      <xdr:rowOff>57149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5D946A-9314-788A-FA07-2AA4990A9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19049</xdr:colOff>
      <xdr:row>97</xdr:row>
      <xdr:rowOff>19049</xdr:rowOff>
    </xdr:from>
    <xdr:to>
      <xdr:col>8</xdr:col>
      <xdr:colOff>57149</xdr:colOff>
      <xdr:row>112</xdr:row>
      <xdr:rowOff>47624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DA7D01-EC17-8682-4193-DD77C08D4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28574</xdr:colOff>
      <xdr:row>97</xdr:row>
      <xdr:rowOff>19049</xdr:rowOff>
    </xdr:from>
    <xdr:to>
      <xdr:col>16</xdr:col>
      <xdr:colOff>714374</xdr:colOff>
      <xdr:row>112</xdr:row>
      <xdr:rowOff>47624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F644119-115F-D593-3569-22196F1B7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63</xdr:row>
      <xdr:rowOff>38099</xdr:rowOff>
    </xdr:from>
    <xdr:to>
      <xdr:col>8</xdr:col>
      <xdr:colOff>66674</xdr:colOff>
      <xdr:row>78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0593D-72B2-604F-531D-DDA9B145F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38099</xdr:colOff>
      <xdr:row>62</xdr:row>
      <xdr:rowOff>180974</xdr:rowOff>
    </xdr:from>
    <xdr:to>
      <xdr:col>16</xdr:col>
      <xdr:colOff>723899</xdr:colOff>
      <xdr:row>78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3BD681-DA52-3B4A-04F2-B56971E28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9524</xdr:colOff>
      <xdr:row>81</xdr:row>
      <xdr:rowOff>66674</xdr:rowOff>
    </xdr:from>
    <xdr:to>
      <xdr:col>8</xdr:col>
      <xdr:colOff>47624</xdr:colOff>
      <xdr:row>96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F3DE44-63F5-6D10-D71E-F3D8054D7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609599</xdr:colOff>
      <xdr:row>81</xdr:row>
      <xdr:rowOff>104774</xdr:rowOff>
    </xdr:from>
    <xdr:to>
      <xdr:col>16</xdr:col>
      <xdr:colOff>647699</xdr:colOff>
      <xdr:row>96</xdr:row>
      <xdr:rowOff>133349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7C4F3B-5B53-DBD1-EC80-B9164A7CF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647699</xdr:colOff>
      <xdr:row>99</xdr:row>
      <xdr:rowOff>57149</xdr:rowOff>
    </xdr:from>
    <xdr:to>
      <xdr:col>8</xdr:col>
      <xdr:colOff>38099</xdr:colOff>
      <xdr:row>114</xdr:row>
      <xdr:rowOff>85724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3BB964-35F4-2342-B770-A7048E9E1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619124</xdr:colOff>
      <xdr:row>99</xdr:row>
      <xdr:rowOff>28574</xdr:rowOff>
    </xdr:from>
    <xdr:to>
      <xdr:col>16</xdr:col>
      <xdr:colOff>657224</xdr:colOff>
      <xdr:row>114</xdr:row>
      <xdr:rowOff>57149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1BCD35-8F37-03B9-D059-11109726F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63</xdr:row>
      <xdr:rowOff>38099</xdr:rowOff>
    </xdr:from>
    <xdr:to>
      <xdr:col>8</xdr:col>
      <xdr:colOff>152400</xdr:colOff>
      <xdr:row>78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A0B2B-EC86-746D-7C97-9BE942273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28574</xdr:colOff>
      <xdr:row>62</xdr:row>
      <xdr:rowOff>180974</xdr:rowOff>
    </xdr:from>
    <xdr:to>
      <xdr:col>16</xdr:col>
      <xdr:colOff>714374</xdr:colOff>
      <xdr:row>78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C3A5E7-0BDA-93F8-3754-ACB237822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76199</xdr:colOff>
      <xdr:row>80</xdr:row>
      <xdr:rowOff>171449</xdr:rowOff>
    </xdr:from>
    <xdr:to>
      <xdr:col>8</xdr:col>
      <xdr:colOff>114299</xdr:colOff>
      <xdr:row>96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12DC06-67B2-2A42-D943-584B8F854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9524</xdr:colOff>
      <xdr:row>81</xdr:row>
      <xdr:rowOff>19049</xdr:rowOff>
    </xdr:from>
    <xdr:to>
      <xdr:col>16</xdr:col>
      <xdr:colOff>695324</xdr:colOff>
      <xdr:row>96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20D165-C981-F0B3-0B48-03AF5B729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9524</xdr:colOff>
      <xdr:row>98</xdr:row>
      <xdr:rowOff>47624</xdr:rowOff>
    </xdr:from>
    <xdr:to>
      <xdr:col>8</xdr:col>
      <xdr:colOff>47624</xdr:colOff>
      <xdr:row>113</xdr:row>
      <xdr:rowOff>76199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A12E1A-79EE-E89A-15DB-6E8CD6AD7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19049</xdr:colOff>
      <xdr:row>98</xdr:row>
      <xdr:rowOff>28574</xdr:rowOff>
    </xdr:from>
    <xdr:to>
      <xdr:col>16</xdr:col>
      <xdr:colOff>704849</xdr:colOff>
      <xdr:row>113</xdr:row>
      <xdr:rowOff>57149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338DD3-0E56-6525-0B49-949EFA79E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63</xdr:row>
      <xdr:rowOff>180974</xdr:rowOff>
    </xdr:from>
    <xdr:to>
      <xdr:col>8</xdr:col>
      <xdr:colOff>76200</xdr:colOff>
      <xdr:row>79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E51AC6-005D-3E36-62A2-7E0865AE1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638174</xdr:colOff>
      <xdr:row>63</xdr:row>
      <xdr:rowOff>161924</xdr:rowOff>
    </xdr:from>
    <xdr:to>
      <xdr:col>16</xdr:col>
      <xdr:colOff>676274</xdr:colOff>
      <xdr:row>79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48C1C5-0EDA-11A1-27EA-150905D0E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28574</xdr:colOff>
      <xdr:row>81</xdr:row>
      <xdr:rowOff>66674</xdr:rowOff>
    </xdr:from>
    <xdr:to>
      <xdr:col>8</xdr:col>
      <xdr:colOff>66674</xdr:colOff>
      <xdr:row>96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CE6829-8D41-338E-5B52-BCB5A29A5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638174</xdr:colOff>
      <xdr:row>81</xdr:row>
      <xdr:rowOff>104774</xdr:rowOff>
    </xdr:from>
    <xdr:to>
      <xdr:col>16</xdr:col>
      <xdr:colOff>676274</xdr:colOff>
      <xdr:row>96</xdr:row>
      <xdr:rowOff>133349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2B928E-A28E-E394-FE5E-CAC36A5C0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647699</xdr:colOff>
      <xdr:row>98</xdr:row>
      <xdr:rowOff>171449</xdr:rowOff>
    </xdr:from>
    <xdr:to>
      <xdr:col>8</xdr:col>
      <xdr:colOff>38099</xdr:colOff>
      <xdr:row>114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18C617-F647-F532-B85C-E3955D128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9524</xdr:colOff>
      <xdr:row>99</xdr:row>
      <xdr:rowOff>38099</xdr:rowOff>
    </xdr:from>
    <xdr:to>
      <xdr:col>16</xdr:col>
      <xdr:colOff>695324</xdr:colOff>
      <xdr:row>114</xdr:row>
      <xdr:rowOff>66674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5DF56C-1902-5AF0-03D1-2E2C91602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54</xdr:row>
      <xdr:rowOff>142874</xdr:rowOff>
    </xdr:from>
    <xdr:to>
      <xdr:col>8</xdr:col>
      <xdr:colOff>66674</xdr:colOff>
      <xdr:row>69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5F1375-7098-ACBB-6078-A86B4E815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114299</xdr:colOff>
      <xdr:row>54</xdr:row>
      <xdr:rowOff>47624</xdr:rowOff>
    </xdr:from>
    <xdr:to>
      <xdr:col>16</xdr:col>
      <xdr:colOff>800099</xdr:colOff>
      <xdr:row>69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FD2A52-1E8E-E172-4542-80E299738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57149</xdr:colOff>
      <xdr:row>73</xdr:row>
      <xdr:rowOff>66674</xdr:rowOff>
    </xdr:from>
    <xdr:to>
      <xdr:col>8</xdr:col>
      <xdr:colOff>95249</xdr:colOff>
      <xdr:row>88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8E6DA3-43FB-DEB4-8388-79C2E0F4A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19049</xdr:colOff>
      <xdr:row>72</xdr:row>
      <xdr:rowOff>180974</xdr:rowOff>
    </xdr:from>
    <xdr:to>
      <xdr:col>16</xdr:col>
      <xdr:colOff>704849</xdr:colOff>
      <xdr:row>88</xdr:row>
      <xdr:rowOff>28574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663CD6-631B-E193-F885-325BE9725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28574</xdr:colOff>
      <xdr:row>91</xdr:row>
      <xdr:rowOff>142874</xdr:rowOff>
    </xdr:from>
    <xdr:to>
      <xdr:col>8</xdr:col>
      <xdr:colOff>66674</xdr:colOff>
      <xdr:row>106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47120F-49FA-4065-F895-332EB3FEE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550A-E472-4DD4-8132-9800EDAD6D4D}">
  <dimension ref="A1:L97"/>
  <sheetViews>
    <sheetView workbookViewId="0">
      <selection activeCell="I1" sqref="I1:L97"/>
    </sheetView>
  </sheetViews>
  <sheetFormatPr defaultRowHeight="15" x14ac:dyDescent="0.25"/>
  <cols>
    <col min="2" max="2" width="17.42578125" customWidth="1"/>
    <col min="4" max="4" width="18.140625" customWidth="1"/>
    <col min="5" max="5" width="18" customWidth="1"/>
    <col min="6" max="6" width="18.140625" customWidth="1"/>
    <col min="9" max="9" width="11.5703125" customWidth="1"/>
    <col min="10" max="10" width="10.140625" customWidth="1"/>
    <col min="11" max="11" width="18.7109375" customWidth="1"/>
    <col min="12" max="12" width="48.140625" customWidth="1"/>
  </cols>
  <sheetData>
    <row r="1" spans="1:12" x14ac:dyDescent="0.25">
      <c r="A1" s="93" t="s">
        <v>234</v>
      </c>
      <c r="B1" s="93"/>
      <c r="C1" s="93"/>
      <c r="D1" s="93"/>
      <c r="E1" s="94"/>
      <c r="F1" s="95"/>
      <c r="I1" t="s">
        <v>0</v>
      </c>
      <c r="J1" t="s">
        <v>115</v>
      </c>
      <c r="K1" t="s">
        <v>237</v>
      </c>
      <c r="L1" t="s">
        <v>238</v>
      </c>
    </row>
    <row r="2" spans="1:12" x14ac:dyDescent="0.25">
      <c r="A2" s="90" t="s">
        <v>1</v>
      </c>
      <c r="B2" s="90" t="s">
        <v>233</v>
      </c>
      <c r="C2" s="90" t="s">
        <v>1</v>
      </c>
      <c r="D2" s="90" t="s">
        <v>233</v>
      </c>
      <c r="E2" s="91" t="s">
        <v>235</v>
      </c>
      <c r="F2" s="92" t="s">
        <v>23</v>
      </c>
      <c r="I2">
        <v>511417</v>
      </c>
      <c r="J2" t="s">
        <v>118</v>
      </c>
      <c r="K2">
        <v>6</v>
      </c>
    </row>
    <row r="3" spans="1:12" x14ac:dyDescent="0.25">
      <c r="A3" t="s">
        <v>75</v>
      </c>
      <c r="B3" t="s">
        <v>158</v>
      </c>
      <c r="C3" t="s">
        <v>75</v>
      </c>
      <c r="D3" t="s">
        <v>119</v>
      </c>
      <c r="E3" s="85">
        <v>-8.9578969999999994E-2</v>
      </c>
      <c r="F3" s="89">
        <v>0.94103539999999997</v>
      </c>
      <c r="I3">
        <v>51848</v>
      </c>
      <c r="J3" t="s">
        <v>120</v>
      </c>
      <c r="K3">
        <v>6</v>
      </c>
    </row>
    <row r="4" spans="1:12" x14ac:dyDescent="0.25">
      <c r="C4" t="s">
        <v>75</v>
      </c>
      <c r="D4" t="s">
        <v>137</v>
      </c>
      <c r="E4" s="85">
        <v>-0.24945535999999999</v>
      </c>
      <c r="F4" s="89">
        <v>9.2768600000000007E-2</v>
      </c>
      <c r="I4">
        <v>511156</v>
      </c>
      <c r="J4" t="s">
        <v>76</v>
      </c>
      <c r="K4">
        <v>6</v>
      </c>
    </row>
    <row r="5" spans="1:12" x14ac:dyDescent="0.25">
      <c r="C5" t="s">
        <v>7</v>
      </c>
      <c r="D5" t="s">
        <v>158</v>
      </c>
      <c r="E5" s="85">
        <v>-0.75613752999999995</v>
      </c>
      <c r="F5" s="89">
        <v>0</v>
      </c>
      <c r="I5">
        <v>511031</v>
      </c>
      <c r="J5" t="s">
        <v>121</v>
      </c>
      <c r="K5">
        <v>6</v>
      </c>
    </row>
    <row r="6" spans="1:12" x14ac:dyDescent="0.25">
      <c r="C6" t="s">
        <v>7</v>
      </c>
      <c r="D6" t="s">
        <v>119</v>
      </c>
      <c r="E6" s="85">
        <v>-0.68183886999999999</v>
      </c>
      <c r="F6" s="89">
        <v>0</v>
      </c>
      <c r="I6">
        <v>51334</v>
      </c>
      <c r="J6" t="s">
        <v>122</v>
      </c>
      <c r="K6">
        <v>6</v>
      </c>
    </row>
    <row r="7" spans="1:12" x14ac:dyDescent="0.25">
      <c r="C7" t="s">
        <v>7</v>
      </c>
      <c r="D7" t="s">
        <v>137</v>
      </c>
      <c r="E7" s="85">
        <v>-0.64364838000000002</v>
      </c>
      <c r="F7" s="89">
        <v>0</v>
      </c>
      <c r="I7">
        <v>51717</v>
      </c>
      <c r="J7" t="s">
        <v>123</v>
      </c>
      <c r="K7">
        <v>6</v>
      </c>
    </row>
    <row r="8" spans="1:12" x14ac:dyDescent="0.25">
      <c r="B8" t="s">
        <v>119</v>
      </c>
      <c r="C8" t="s">
        <v>75</v>
      </c>
      <c r="D8" t="s">
        <v>137</v>
      </c>
      <c r="E8" s="85">
        <v>-0.15987639000000001</v>
      </c>
      <c r="F8" s="89">
        <v>0.55585430000000002</v>
      </c>
      <c r="I8">
        <v>51639</v>
      </c>
      <c r="J8" t="s">
        <v>124</v>
      </c>
      <c r="K8">
        <v>6</v>
      </c>
    </row>
    <row r="9" spans="1:12" x14ac:dyDescent="0.25">
      <c r="C9" t="s">
        <v>7</v>
      </c>
      <c r="D9" t="s">
        <v>158</v>
      </c>
      <c r="E9" s="85">
        <v>-0.66655856000000002</v>
      </c>
      <c r="F9" s="89">
        <v>0</v>
      </c>
      <c r="I9">
        <v>51833</v>
      </c>
      <c r="J9" t="s">
        <v>125</v>
      </c>
      <c r="K9">
        <v>6</v>
      </c>
    </row>
    <row r="10" spans="1:12" x14ac:dyDescent="0.25">
      <c r="C10" t="s">
        <v>7</v>
      </c>
      <c r="D10" t="s">
        <v>119</v>
      </c>
      <c r="E10" s="85">
        <v>-0.59225989999999995</v>
      </c>
      <c r="F10" s="89">
        <v>0</v>
      </c>
      <c r="I10">
        <v>511325</v>
      </c>
      <c r="J10" t="s">
        <v>126</v>
      </c>
      <c r="K10">
        <v>6</v>
      </c>
    </row>
    <row r="11" spans="1:12" x14ac:dyDescent="0.25">
      <c r="C11" t="s">
        <v>7</v>
      </c>
      <c r="D11" t="s">
        <v>137</v>
      </c>
      <c r="E11" s="85">
        <v>-0.55406940999999998</v>
      </c>
      <c r="F11" s="89">
        <v>1.9999999999999999E-7</v>
      </c>
      <c r="I11">
        <v>511346</v>
      </c>
      <c r="J11" t="s">
        <v>127</v>
      </c>
      <c r="K11">
        <v>6</v>
      </c>
    </row>
    <row r="12" spans="1:12" x14ac:dyDescent="0.25">
      <c r="B12" t="s">
        <v>137</v>
      </c>
      <c r="C12" t="s">
        <v>7</v>
      </c>
      <c r="D12" t="s">
        <v>158</v>
      </c>
      <c r="E12" s="85">
        <v>-0.50668217000000004</v>
      </c>
      <c r="F12" s="89">
        <v>2.9999999999999999E-7</v>
      </c>
      <c r="I12">
        <v>511221</v>
      </c>
      <c r="J12" t="s">
        <v>128</v>
      </c>
      <c r="K12">
        <v>6</v>
      </c>
    </row>
    <row r="13" spans="1:12" x14ac:dyDescent="0.25">
      <c r="C13" t="s">
        <v>7</v>
      </c>
      <c r="D13" t="s">
        <v>119</v>
      </c>
      <c r="E13" s="85">
        <v>-0.43238351000000003</v>
      </c>
      <c r="F13" s="89">
        <v>2.34E-5</v>
      </c>
      <c r="I13">
        <v>512217</v>
      </c>
      <c r="J13" t="s">
        <v>129</v>
      </c>
      <c r="K13">
        <v>6</v>
      </c>
    </row>
    <row r="14" spans="1:12" x14ac:dyDescent="0.25">
      <c r="C14" t="s">
        <v>7</v>
      </c>
      <c r="D14" t="s">
        <v>137</v>
      </c>
      <c r="E14" s="85">
        <v>-0.39419302000000001</v>
      </c>
      <c r="F14" s="89">
        <v>1.1790000000000001E-4</v>
      </c>
      <c r="I14">
        <v>51746</v>
      </c>
      <c r="J14" t="s">
        <v>130</v>
      </c>
      <c r="K14">
        <v>6</v>
      </c>
    </row>
    <row r="15" spans="1:12" x14ac:dyDescent="0.25">
      <c r="A15" t="s">
        <v>7</v>
      </c>
      <c r="B15" t="s">
        <v>158</v>
      </c>
      <c r="C15" t="s">
        <v>7</v>
      </c>
      <c r="D15" t="s">
        <v>119</v>
      </c>
      <c r="E15" s="85">
        <v>7.4298660000000002E-2</v>
      </c>
      <c r="F15" s="89">
        <v>0.91567699999999996</v>
      </c>
      <c r="I15">
        <v>511811</v>
      </c>
      <c r="J15" t="s">
        <v>131</v>
      </c>
      <c r="K15">
        <v>6</v>
      </c>
    </row>
    <row r="16" spans="1:12" x14ac:dyDescent="0.25">
      <c r="C16" t="s">
        <v>7</v>
      </c>
      <c r="D16" t="s">
        <v>137</v>
      </c>
      <c r="E16" s="85">
        <v>0.11248915</v>
      </c>
      <c r="F16" s="89">
        <v>0.63993840000000002</v>
      </c>
      <c r="I16">
        <v>51525</v>
      </c>
      <c r="J16" t="s">
        <v>132</v>
      </c>
      <c r="K16">
        <v>6</v>
      </c>
    </row>
    <row r="17" spans="1:11" x14ac:dyDescent="0.25">
      <c r="A17" s="87"/>
      <c r="B17" s="87" t="s">
        <v>119</v>
      </c>
      <c r="C17" s="87" t="s">
        <v>7</v>
      </c>
      <c r="D17" s="87" t="s">
        <v>137</v>
      </c>
      <c r="E17" s="86">
        <v>3.8190490000000001E-2</v>
      </c>
      <c r="F17" s="88">
        <v>0.9956817</v>
      </c>
      <c r="I17">
        <v>51185</v>
      </c>
      <c r="J17" t="s">
        <v>9</v>
      </c>
      <c r="K17">
        <v>6</v>
      </c>
    </row>
    <row r="18" spans="1:11" x14ac:dyDescent="0.25">
      <c r="A18" t="s">
        <v>236</v>
      </c>
      <c r="I18">
        <v>511052</v>
      </c>
      <c r="J18" t="s">
        <v>133</v>
      </c>
      <c r="K18">
        <v>6</v>
      </c>
    </row>
    <row r="19" spans="1:11" x14ac:dyDescent="0.25">
      <c r="I19">
        <v>51826</v>
      </c>
      <c r="J19" t="s">
        <v>134</v>
      </c>
      <c r="K19">
        <v>6</v>
      </c>
    </row>
    <row r="20" spans="1:11" x14ac:dyDescent="0.25">
      <c r="I20">
        <v>512014</v>
      </c>
      <c r="J20" t="s">
        <v>135</v>
      </c>
      <c r="K20">
        <v>6</v>
      </c>
    </row>
    <row r="21" spans="1:11" x14ac:dyDescent="0.25">
      <c r="I21">
        <v>97918</v>
      </c>
      <c r="J21" s="82" t="s">
        <v>136</v>
      </c>
      <c r="K21">
        <v>6</v>
      </c>
    </row>
    <row r="22" spans="1:11" x14ac:dyDescent="0.25">
      <c r="I22">
        <v>97231</v>
      </c>
      <c r="J22" s="82" t="s">
        <v>138</v>
      </c>
      <c r="K22">
        <v>6</v>
      </c>
    </row>
    <row r="23" spans="1:11" x14ac:dyDescent="0.25">
      <c r="I23">
        <v>971414</v>
      </c>
      <c r="J23" s="82" t="s">
        <v>139</v>
      </c>
      <c r="K23">
        <v>6</v>
      </c>
    </row>
    <row r="24" spans="1:11" x14ac:dyDescent="0.25">
      <c r="I24">
        <v>971349</v>
      </c>
      <c r="J24" s="82" t="s">
        <v>140</v>
      </c>
      <c r="K24">
        <v>6</v>
      </c>
    </row>
    <row r="25" spans="1:11" x14ac:dyDescent="0.25">
      <c r="I25">
        <v>97650</v>
      </c>
      <c r="J25" s="82" t="s">
        <v>141</v>
      </c>
      <c r="K25">
        <v>6</v>
      </c>
    </row>
    <row r="26" spans="1:11" x14ac:dyDescent="0.25">
      <c r="I26">
        <v>97335</v>
      </c>
      <c r="J26" s="82" t="s">
        <v>142</v>
      </c>
      <c r="K26">
        <v>6</v>
      </c>
    </row>
    <row r="27" spans="1:11" x14ac:dyDescent="0.25">
      <c r="I27">
        <v>97730</v>
      </c>
      <c r="J27" s="82" t="s">
        <v>143</v>
      </c>
      <c r="K27">
        <v>6</v>
      </c>
    </row>
    <row r="28" spans="1:11" x14ac:dyDescent="0.25">
      <c r="I28">
        <v>972017</v>
      </c>
      <c r="J28" s="82" t="s">
        <v>144</v>
      </c>
      <c r="K28">
        <v>6</v>
      </c>
    </row>
    <row r="29" spans="1:11" x14ac:dyDescent="0.25">
      <c r="I29">
        <v>971145</v>
      </c>
      <c r="J29" s="82" t="s">
        <v>145</v>
      </c>
      <c r="K29">
        <v>6</v>
      </c>
    </row>
    <row r="30" spans="1:11" x14ac:dyDescent="0.25">
      <c r="I30">
        <v>97734</v>
      </c>
      <c r="J30" s="82" t="s">
        <v>146</v>
      </c>
      <c r="K30">
        <v>6</v>
      </c>
    </row>
    <row r="31" spans="1:11" x14ac:dyDescent="0.25">
      <c r="I31">
        <v>97620</v>
      </c>
      <c r="J31" s="82" t="s">
        <v>147</v>
      </c>
      <c r="K31">
        <v>6</v>
      </c>
    </row>
    <row r="32" spans="1:11" x14ac:dyDescent="0.25">
      <c r="I32">
        <v>97623</v>
      </c>
      <c r="J32" s="82" t="s">
        <v>148</v>
      </c>
      <c r="K32">
        <v>6</v>
      </c>
    </row>
    <row r="33" spans="9:12" x14ac:dyDescent="0.25">
      <c r="I33" t="s">
        <v>37</v>
      </c>
      <c r="J33" s="82" t="s">
        <v>149</v>
      </c>
      <c r="K33">
        <v>6</v>
      </c>
    </row>
    <row r="34" spans="9:12" x14ac:dyDescent="0.25">
      <c r="I34">
        <v>97168</v>
      </c>
      <c r="J34" s="82" t="s">
        <v>150</v>
      </c>
      <c r="K34">
        <v>6</v>
      </c>
    </row>
    <row r="35" spans="9:12" x14ac:dyDescent="0.25">
      <c r="I35">
        <v>971022</v>
      </c>
      <c r="J35" s="82" t="s">
        <v>151</v>
      </c>
      <c r="K35">
        <v>6</v>
      </c>
    </row>
    <row r="36" spans="9:12" x14ac:dyDescent="0.25">
      <c r="I36">
        <v>97339</v>
      </c>
      <c r="J36" s="82" t="s">
        <v>152</v>
      </c>
      <c r="K36">
        <v>6</v>
      </c>
    </row>
    <row r="37" spans="9:12" x14ac:dyDescent="0.25">
      <c r="I37">
        <v>971316</v>
      </c>
      <c r="J37" s="82" t="s">
        <v>153</v>
      </c>
      <c r="K37">
        <v>6</v>
      </c>
    </row>
    <row r="38" spans="9:12" x14ac:dyDescent="0.25">
      <c r="I38" t="s">
        <v>43</v>
      </c>
      <c r="J38" s="82" t="s">
        <v>154</v>
      </c>
      <c r="K38">
        <v>6</v>
      </c>
    </row>
    <row r="39" spans="9:12" x14ac:dyDescent="0.25">
      <c r="I39" t="s">
        <v>45</v>
      </c>
      <c r="J39" s="82" t="s">
        <v>155</v>
      </c>
      <c r="K39">
        <v>6</v>
      </c>
    </row>
    <row r="40" spans="9:12" x14ac:dyDescent="0.25">
      <c r="I40">
        <v>97206</v>
      </c>
      <c r="J40" s="82" t="s">
        <v>156</v>
      </c>
      <c r="K40">
        <v>6</v>
      </c>
    </row>
    <row r="41" spans="9:12" x14ac:dyDescent="0.25">
      <c r="I41">
        <v>121434</v>
      </c>
      <c r="J41" t="s">
        <v>157</v>
      </c>
      <c r="K41">
        <v>6</v>
      </c>
    </row>
    <row r="42" spans="9:12" x14ac:dyDescent="0.25">
      <c r="I42">
        <v>121539</v>
      </c>
      <c r="J42" t="s">
        <v>159</v>
      </c>
      <c r="K42">
        <v>6</v>
      </c>
    </row>
    <row r="43" spans="9:12" x14ac:dyDescent="0.25">
      <c r="I43">
        <v>121743</v>
      </c>
      <c r="J43" t="s">
        <v>160</v>
      </c>
      <c r="K43">
        <v>6</v>
      </c>
    </row>
    <row r="44" spans="9:12" x14ac:dyDescent="0.25">
      <c r="I44">
        <v>1211312</v>
      </c>
      <c r="J44" t="s">
        <v>161</v>
      </c>
      <c r="K44">
        <v>6</v>
      </c>
    </row>
    <row r="45" spans="9:12" x14ac:dyDescent="0.25">
      <c r="I45">
        <v>121179</v>
      </c>
      <c r="J45" t="s">
        <v>162</v>
      </c>
      <c r="K45">
        <v>6</v>
      </c>
    </row>
    <row r="46" spans="9:12" x14ac:dyDescent="0.25">
      <c r="I46">
        <v>121631</v>
      </c>
      <c r="J46" t="s">
        <v>163</v>
      </c>
      <c r="K46">
        <v>6</v>
      </c>
    </row>
    <row r="47" spans="9:12" x14ac:dyDescent="0.25">
      <c r="I47">
        <v>1211019</v>
      </c>
      <c r="J47" t="s">
        <v>164</v>
      </c>
      <c r="K47">
        <v>5</v>
      </c>
      <c r="L47" t="s">
        <v>239</v>
      </c>
    </row>
    <row r="48" spans="9:12" x14ac:dyDescent="0.25">
      <c r="I48">
        <v>1212018</v>
      </c>
      <c r="J48" t="s">
        <v>166</v>
      </c>
      <c r="K48">
        <v>6</v>
      </c>
    </row>
    <row r="49" spans="9:12" x14ac:dyDescent="0.25">
      <c r="I49">
        <v>121834</v>
      </c>
      <c r="J49" t="s">
        <v>167</v>
      </c>
      <c r="K49">
        <v>3</v>
      </c>
      <c r="L49" t="s">
        <v>240</v>
      </c>
    </row>
    <row r="50" spans="9:12" x14ac:dyDescent="0.25">
      <c r="I50">
        <v>1211029</v>
      </c>
      <c r="J50" t="s">
        <v>169</v>
      </c>
      <c r="K50">
        <v>6</v>
      </c>
    </row>
    <row r="51" spans="9:12" x14ac:dyDescent="0.25">
      <c r="I51">
        <v>1211144</v>
      </c>
      <c r="J51" t="s">
        <v>170</v>
      </c>
      <c r="K51">
        <v>6</v>
      </c>
    </row>
    <row r="52" spans="9:12" x14ac:dyDescent="0.25">
      <c r="I52">
        <v>121448</v>
      </c>
      <c r="J52" t="s">
        <v>171</v>
      </c>
      <c r="K52">
        <v>6</v>
      </c>
    </row>
    <row r="53" spans="9:12" x14ac:dyDescent="0.25">
      <c r="I53" s="81" t="s">
        <v>61</v>
      </c>
      <c r="J53" t="s">
        <v>172</v>
      </c>
      <c r="K53">
        <v>6</v>
      </c>
    </row>
    <row r="54" spans="9:12" x14ac:dyDescent="0.25">
      <c r="I54" s="81" t="s">
        <v>63</v>
      </c>
      <c r="J54" t="s">
        <v>173</v>
      </c>
      <c r="K54">
        <v>6</v>
      </c>
    </row>
    <row r="55" spans="9:12" x14ac:dyDescent="0.25">
      <c r="I55" s="81" t="s">
        <v>65</v>
      </c>
      <c r="J55" t="s">
        <v>174</v>
      </c>
      <c r="K55">
        <v>6</v>
      </c>
    </row>
    <row r="56" spans="9:12" x14ac:dyDescent="0.25">
      <c r="I56" s="81" t="s">
        <v>67</v>
      </c>
      <c r="J56" t="s">
        <v>175</v>
      </c>
      <c r="K56">
        <v>6</v>
      </c>
    </row>
    <row r="57" spans="9:12" x14ac:dyDescent="0.25">
      <c r="I57" s="81" t="s">
        <v>69</v>
      </c>
      <c r="J57" t="s">
        <v>176</v>
      </c>
      <c r="K57">
        <v>6</v>
      </c>
    </row>
    <row r="58" spans="9:12" x14ac:dyDescent="0.25">
      <c r="I58">
        <v>121422</v>
      </c>
      <c r="J58" t="s">
        <v>177</v>
      </c>
      <c r="K58">
        <v>6</v>
      </c>
    </row>
    <row r="59" spans="9:12" x14ac:dyDescent="0.25">
      <c r="I59">
        <v>121427</v>
      </c>
      <c r="J59" t="s">
        <v>178</v>
      </c>
      <c r="K59">
        <v>6</v>
      </c>
    </row>
    <row r="60" spans="9:12" x14ac:dyDescent="0.25">
      <c r="I60">
        <v>121138</v>
      </c>
      <c r="J60" t="s">
        <v>179</v>
      </c>
      <c r="K60">
        <v>6</v>
      </c>
    </row>
    <row r="61" spans="9:12" x14ac:dyDescent="0.25">
      <c r="I61">
        <v>121218</v>
      </c>
      <c r="J61" t="s">
        <v>180</v>
      </c>
      <c r="K61">
        <v>6</v>
      </c>
    </row>
    <row r="62" spans="9:12" x14ac:dyDescent="0.25">
      <c r="I62">
        <v>512237</v>
      </c>
      <c r="J62" t="s">
        <v>181</v>
      </c>
      <c r="K62">
        <v>6</v>
      </c>
    </row>
    <row r="63" spans="9:12" x14ac:dyDescent="0.25">
      <c r="I63">
        <v>512421</v>
      </c>
      <c r="J63" t="s">
        <v>182</v>
      </c>
      <c r="K63">
        <v>6</v>
      </c>
    </row>
    <row r="64" spans="9:12" x14ac:dyDescent="0.25">
      <c r="I64">
        <v>511552</v>
      </c>
      <c r="J64" t="s">
        <v>183</v>
      </c>
      <c r="K64">
        <v>6</v>
      </c>
    </row>
    <row r="65" spans="9:12" x14ac:dyDescent="0.25">
      <c r="I65">
        <v>511137</v>
      </c>
      <c r="J65" t="s">
        <v>184</v>
      </c>
      <c r="K65">
        <v>6</v>
      </c>
    </row>
    <row r="66" spans="9:12" x14ac:dyDescent="0.25">
      <c r="I66">
        <v>511940</v>
      </c>
      <c r="J66" t="s">
        <v>185</v>
      </c>
      <c r="K66">
        <v>6</v>
      </c>
    </row>
    <row r="67" spans="9:12" x14ac:dyDescent="0.25">
      <c r="I67">
        <v>511720</v>
      </c>
      <c r="J67" t="s">
        <v>186</v>
      </c>
      <c r="K67">
        <v>6</v>
      </c>
    </row>
    <row r="68" spans="9:12" x14ac:dyDescent="0.25">
      <c r="I68">
        <v>512439</v>
      </c>
      <c r="J68" t="s">
        <v>187</v>
      </c>
      <c r="K68">
        <v>6</v>
      </c>
    </row>
    <row r="69" spans="9:12" x14ac:dyDescent="0.25">
      <c r="I69">
        <v>512142</v>
      </c>
      <c r="J69" t="s">
        <v>188</v>
      </c>
      <c r="K69">
        <v>6</v>
      </c>
    </row>
    <row r="70" spans="9:12" x14ac:dyDescent="0.25">
      <c r="I70">
        <v>511837</v>
      </c>
      <c r="J70" t="s">
        <v>189</v>
      </c>
      <c r="K70">
        <v>3</v>
      </c>
      <c r="L70" t="s">
        <v>240</v>
      </c>
    </row>
    <row r="71" spans="9:12" x14ac:dyDescent="0.25">
      <c r="I71">
        <v>511628</v>
      </c>
      <c r="J71" t="s">
        <v>190</v>
      </c>
      <c r="K71">
        <v>6</v>
      </c>
    </row>
    <row r="72" spans="9:12" x14ac:dyDescent="0.25">
      <c r="I72">
        <v>511440</v>
      </c>
      <c r="J72" t="s">
        <v>191</v>
      </c>
      <c r="K72">
        <v>6</v>
      </c>
    </row>
    <row r="73" spans="9:12" x14ac:dyDescent="0.25">
      <c r="I73">
        <v>971437</v>
      </c>
      <c r="J73" t="s">
        <v>192</v>
      </c>
      <c r="K73">
        <v>6</v>
      </c>
    </row>
    <row r="74" spans="9:12" x14ac:dyDescent="0.25">
      <c r="I74">
        <v>971721</v>
      </c>
      <c r="J74" t="s">
        <v>193</v>
      </c>
      <c r="K74">
        <v>6</v>
      </c>
    </row>
    <row r="75" spans="9:12" x14ac:dyDescent="0.25">
      <c r="I75">
        <v>972329</v>
      </c>
      <c r="J75" t="s">
        <v>194</v>
      </c>
      <c r="K75">
        <v>6</v>
      </c>
    </row>
    <row r="76" spans="9:12" x14ac:dyDescent="0.25">
      <c r="I76">
        <v>971542</v>
      </c>
      <c r="J76" t="s">
        <v>195</v>
      </c>
      <c r="K76">
        <v>6</v>
      </c>
    </row>
    <row r="77" spans="9:12" x14ac:dyDescent="0.25">
      <c r="I77">
        <v>971453</v>
      </c>
      <c r="J77" t="s">
        <v>196</v>
      </c>
      <c r="K77">
        <v>6</v>
      </c>
    </row>
    <row r="78" spans="9:12" x14ac:dyDescent="0.25">
      <c r="I78">
        <v>971941</v>
      </c>
      <c r="J78" t="s">
        <v>197</v>
      </c>
      <c r="K78">
        <v>6</v>
      </c>
    </row>
    <row r="79" spans="9:12" x14ac:dyDescent="0.25">
      <c r="I79">
        <v>972135</v>
      </c>
      <c r="J79" t="s">
        <v>198</v>
      </c>
      <c r="K79">
        <v>6</v>
      </c>
    </row>
    <row r="80" spans="9:12" x14ac:dyDescent="0.25">
      <c r="I80">
        <v>971427</v>
      </c>
      <c r="J80" t="s">
        <v>199</v>
      </c>
      <c r="K80">
        <v>6</v>
      </c>
    </row>
    <row r="81" spans="9:12" x14ac:dyDescent="0.25">
      <c r="I81">
        <v>971826</v>
      </c>
      <c r="J81" t="s">
        <v>200</v>
      </c>
      <c r="K81">
        <v>6</v>
      </c>
    </row>
    <row r="82" spans="9:12" x14ac:dyDescent="0.25">
      <c r="I82">
        <v>972144</v>
      </c>
      <c r="J82" t="s">
        <v>201</v>
      </c>
      <c r="K82">
        <v>6</v>
      </c>
    </row>
    <row r="83" spans="9:12" x14ac:dyDescent="0.25">
      <c r="I83">
        <v>971930</v>
      </c>
      <c r="J83" t="s">
        <v>202</v>
      </c>
      <c r="K83">
        <v>6</v>
      </c>
    </row>
    <row r="84" spans="9:12" x14ac:dyDescent="0.25">
      <c r="I84">
        <v>972525</v>
      </c>
      <c r="J84" t="s">
        <v>203</v>
      </c>
      <c r="K84">
        <v>6</v>
      </c>
    </row>
    <row r="85" spans="9:12" x14ac:dyDescent="0.25">
      <c r="I85">
        <v>971747</v>
      </c>
      <c r="J85" t="s">
        <v>204</v>
      </c>
      <c r="K85">
        <v>6</v>
      </c>
    </row>
    <row r="86" spans="9:12" x14ac:dyDescent="0.25">
      <c r="I86">
        <v>1211715</v>
      </c>
      <c r="J86" t="s">
        <v>205</v>
      </c>
      <c r="K86">
        <v>2</v>
      </c>
      <c r="L86" t="s">
        <v>241</v>
      </c>
    </row>
    <row r="87" spans="9:12" x14ac:dyDescent="0.25">
      <c r="I87">
        <v>1212031</v>
      </c>
      <c r="J87" t="s">
        <v>206</v>
      </c>
      <c r="K87">
        <v>5</v>
      </c>
      <c r="L87" t="s">
        <v>242</v>
      </c>
    </row>
    <row r="88" spans="9:12" x14ac:dyDescent="0.25">
      <c r="I88">
        <v>1211425</v>
      </c>
      <c r="J88" t="s">
        <v>207</v>
      </c>
      <c r="K88">
        <v>5</v>
      </c>
      <c r="L88" t="s">
        <v>242</v>
      </c>
    </row>
    <row r="89" spans="9:12" x14ac:dyDescent="0.25">
      <c r="I89">
        <v>1212521</v>
      </c>
      <c r="J89" t="s">
        <v>208</v>
      </c>
      <c r="K89">
        <v>5</v>
      </c>
      <c r="L89" t="s">
        <v>242</v>
      </c>
    </row>
    <row r="90" spans="9:12" x14ac:dyDescent="0.25">
      <c r="I90">
        <v>1211828</v>
      </c>
      <c r="J90" t="s">
        <v>209</v>
      </c>
      <c r="K90">
        <v>5</v>
      </c>
      <c r="L90" t="s">
        <v>242</v>
      </c>
    </row>
    <row r="91" spans="9:12" x14ac:dyDescent="0.25">
      <c r="I91">
        <v>1211530</v>
      </c>
      <c r="J91" t="s">
        <v>210</v>
      </c>
      <c r="K91">
        <v>5</v>
      </c>
      <c r="L91" t="s">
        <v>242</v>
      </c>
    </row>
    <row r="92" spans="9:12" x14ac:dyDescent="0.25">
      <c r="I92">
        <v>1212232</v>
      </c>
      <c r="J92" t="s">
        <v>211</v>
      </c>
      <c r="K92">
        <v>5</v>
      </c>
      <c r="L92" t="s">
        <v>242</v>
      </c>
    </row>
    <row r="93" spans="9:12" x14ac:dyDescent="0.25">
      <c r="I93">
        <v>1211922</v>
      </c>
      <c r="J93" t="s">
        <v>212</v>
      </c>
      <c r="K93">
        <v>5</v>
      </c>
      <c r="L93" t="s">
        <v>242</v>
      </c>
    </row>
    <row r="94" spans="9:12" x14ac:dyDescent="0.25">
      <c r="I94">
        <v>1211835</v>
      </c>
      <c r="J94" t="s">
        <v>213</v>
      </c>
      <c r="K94">
        <v>5</v>
      </c>
      <c r="L94" t="s">
        <v>242</v>
      </c>
    </row>
    <row r="95" spans="9:12" x14ac:dyDescent="0.25">
      <c r="I95">
        <v>1212427</v>
      </c>
      <c r="J95" t="s">
        <v>214</v>
      </c>
      <c r="K95">
        <v>5</v>
      </c>
      <c r="L95" t="s">
        <v>242</v>
      </c>
    </row>
    <row r="96" spans="9:12" x14ac:dyDescent="0.25">
      <c r="I96">
        <v>1211339</v>
      </c>
      <c r="J96" t="s">
        <v>215</v>
      </c>
      <c r="K96">
        <v>5</v>
      </c>
      <c r="L96" t="s">
        <v>242</v>
      </c>
    </row>
    <row r="97" spans="9:12" x14ac:dyDescent="0.25">
      <c r="I97">
        <v>1211650</v>
      </c>
      <c r="J97" t="s">
        <v>216</v>
      </c>
      <c r="K97">
        <v>5</v>
      </c>
      <c r="L97" t="s">
        <v>242</v>
      </c>
    </row>
  </sheetData>
  <mergeCells count="2">
    <mergeCell ref="A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03AF-C26C-437F-AD26-F295720A218C}">
  <dimension ref="A1:G99"/>
  <sheetViews>
    <sheetView workbookViewId="0">
      <selection activeCell="E11" sqref="E1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511417</v>
      </c>
      <c r="B2" t="s">
        <v>7</v>
      </c>
      <c r="C2" t="s">
        <v>8</v>
      </c>
      <c r="D2" t="s">
        <v>9</v>
      </c>
      <c r="E2">
        <v>1</v>
      </c>
      <c r="G2" t="s">
        <v>10</v>
      </c>
    </row>
    <row r="3" spans="1:7" x14ac:dyDescent="0.25">
      <c r="A3">
        <v>51848</v>
      </c>
      <c r="B3" t="s">
        <v>7</v>
      </c>
      <c r="C3" t="s">
        <v>8</v>
      </c>
      <c r="D3" t="s">
        <v>9</v>
      </c>
      <c r="E3">
        <v>1</v>
      </c>
      <c r="G3" t="s">
        <v>11</v>
      </c>
    </row>
    <row r="4" spans="1:7" x14ac:dyDescent="0.25">
      <c r="A4">
        <v>511156</v>
      </c>
      <c r="B4" t="s">
        <v>7</v>
      </c>
      <c r="C4" t="s">
        <v>8</v>
      </c>
      <c r="D4" t="s">
        <v>9</v>
      </c>
      <c r="E4">
        <v>1</v>
      </c>
      <c r="G4" t="s">
        <v>12</v>
      </c>
    </row>
    <row r="5" spans="1:7" x14ac:dyDescent="0.25">
      <c r="A5">
        <v>511031</v>
      </c>
      <c r="B5" t="s">
        <v>7</v>
      </c>
      <c r="C5" t="s">
        <v>8</v>
      </c>
      <c r="D5" t="s">
        <v>9</v>
      </c>
      <c r="E5">
        <v>1</v>
      </c>
      <c r="G5" t="s">
        <v>13</v>
      </c>
    </row>
    <row r="6" spans="1:7" x14ac:dyDescent="0.25">
      <c r="A6">
        <v>51334</v>
      </c>
      <c r="B6" t="s">
        <v>7</v>
      </c>
      <c r="C6" t="s">
        <v>8</v>
      </c>
      <c r="D6" t="s">
        <v>9</v>
      </c>
      <c r="E6">
        <v>1</v>
      </c>
      <c r="G6" t="s">
        <v>14</v>
      </c>
    </row>
    <row r="7" spans="1:7" x14ac:dyDescent="0.25">
      <c r="A7">
        <v>51717</v>
      </c>
      <c r="B7" t="s">
        <v>7</v>
      </c>
      <c r="C7" t="s">
        <v>8</v>
      </c>
      <c r="D7" t="s">
        <v>9</v>
      </c>
      <c r="E7">
        <v>1</v>
      </c>
      <c r="G7" t="s">
        <v>15</v>
      </c>
    </row>
    <row r="8" spans="1:7" x14ac:dyDescent="0.25">
      <c r="A8">
        <v>51639</v>
      </c>
      <c r="B8" t="s">
        <v>7</v>
      </c>
      <c r="C8" t="s">
        <v>8</v>
      </c>
      <c r="D8" t="s">
        <v>9</v>
      </c>
      <c r="E8">
        <v>1</v>
      </c>
      <c r="G8" t="s">
        <v>16</v>
      </c>
    </row>
    <row r="9" spans="1:7" x14ac:dyDescent="0.25">
      <c r="A9">
        <v>51833</v>
      </c>
      <c r="B9" t="s">
        <v>7</v>
      </c>
      <c r="C9" t="s">
        <v>8</v>
      </c>
      <c r="D9" t="s">
        <v>9</v>
      </c>
      <c r="E9">
        <v>1</v>
      </c>
      <c r="G9" t="s">
        <v>17</v>
      </c>
    </row>
    <row r="10" spans="1:7" x14ac:dyDescent="0.25">
      <c r="A10">
        <v>511325</v>
      </c>
      <c r="B10" t="s">
        <v>7</v>
      </c>
      <c r="C10" t="s">
        <v>8</v>
      </c>
      <c r="D10" t="s">
        <v>9</v>
      </c>
      <c r="E10">
        <v>1</v>
      </c>
      <c r="G10" t="s">
        <v>18</v>
      </c>
    </row>
    <row r="11" spans="1:7" x14ac:dyDescent="0.25">
      <c r="A11">
        <v>511221</v>
      </c>
      <c r="B11" t="s">
        <v>7</v>
      </c>
      <c r="C11" t="s">
        <v>8</v>
      </c>
      <c r="D11" t="s">
        <v>9</v>
      </c>
      <c r="E11">
        <v>1</v>
      </c>
      <c r="G11" t="s">
        <v>19</v>
      </c>
    </row>
    <row r="12" spans="1:7" x14ac:dyDescent="0.25">
      <c r="A12">
        <v>512217</v>
      </c>
      <c r="B12" t="s">
        <v>7</v>
      </c>
      <c r="C12" t="s">
        <v>8</v>
      </c>
      <c r="D12" t="s">
        <v>9</v>
      </c>
      <c r="E12">
        <v>1</v>
      </c>
      <c r="G12" t="s">
        <v>20</v>
      </c>
    </row>
    <row r="13" spans="1:7" x14ac:dyDescent="0.25">
      <c r="A13">
        <v>51746</v>
      </c>
      <c r="B13" t="s">
        <v>7</v>
      </c>
      <c r="C13" t="s">
        <v>8</v>
      </c>
      <c r="D13" t="s">
        <v>9</v>
      </c>
      <c r="E13">
        <v>1</v>
      </c>
      <c r="G13" t="s">
        <v>21</v>
      </c>
    </row>
    <row r="14" spans="1:7" x14ac:dyDescent="0.25">
      <c r="A14">
        <v>51525</v>
      </c>
      <c r="B14" t="s">
        <v>7</v>
      </c>
      <c r="C14" t="s">
        <v>8</v>
      </c>
      <c r="D14" t="s">
        <v>9</v>
      </c>
      <c r="E14">
        <v>1</v>
      </c>
      <c r="G14" t="s">
        <v>22</v>
      </c>
    </row>
    <row r="15" spans="1:7" x14ac:dyDescent="0.25">
      <c r="A15">
        <v>51185</v>
      </c>
      <c r="B15" t="s">
        <v>7</v>
      </c>
      <c r="C15" t="s">
        <v>8</v>
      </c>
      <c r="D15" t="s">
        <v>9</v>
      </c>
      <c r="E15">
        <v>1</v>
      </c>
      <c r="G15" t="s">
        <v>23</v>
      </c>
    </row>
    <row r="16" spans="1:7" x14ac:dyDescent="0.25">
      <c r="A16">
        <v>511052</v>
      </c>
      <c r="B16" t="s">
        <v>7</v>
      </c>
      <c r="C16" t="s">
        <v>8</v>
      </c>
      <c r="D16" t="s">
        <v>9</v>
      </c>
      <c r="E16">
        <v>1</v>
      </c>
      <c r="G16" t="s">
        <v>24</v>
      </c>
    </row>
    <row r="17" spans="1:7" x14ac:dyDescent="0.25">
      <c r="A17">
        <v>51826</v>
      </c>
      <c r="B17" t="s">
        <v>7</v>
      </c>
      <c r="C17" t="s">
        <v>8</v>
      </c>
      <c r="D17" t="s">
        <v>9</v>
      </c>
      <c r="E17">
        <v>1</v>
      </c>
      <c r="G17" t="s">
        <v>25</v>
      </c>
    </row>
    <row r="18" spans="1:7" x14ac:dyDescent="0.25">
      <c r="A18">
        <v>512014</v>
      </c>
      <c r="B18" t="s">
        <v>7</v>
      </c>
      <c r="C18" t="s">
        <v>8</v>
      </c>
      <c r="D18" t="s">
        <v>9</v>
      </c>
      <c r="E18">
        <v>1</v>
      </c>
      <c r="G18" t="s">
        <v>26</v>
      </c>
    </row>
    <row r="19" spans="1:7" x14ac:dyDescent="0.25">
      <c r="A19">
        <v>97918</v>
      </c>
      <c r="B19" t="s">
        <v>7</v>
      </c>
      <c r="C19" t="s">
        <v>8</v>
      </c>
      <c r="D19" t="s">
        <v>9</v>
      </c>
      <c r="E19">
        <v>1</v>
      </c>
      <c r="F19">
        <v>2</v>
      </c>
      <c r="G19" t="s">
        <v>27</v>
      </c>
    </row>
    <row r="20" spans="1:7" x14ac:dyDescent="0.25">
      <c r="A20">
        <v>97231</v>
      </c>
      <c r="B20" t="s">
        <v>7</v>
      </c>
      <c r="C20" t="s">
        <v>8</v>
      </c>
      <c r="D20" t="s">
        <v>9</v>
      </c>
      <c r="E20">
        <v>1</v>
      </c>
      <c r="F20">
        <v>2</v>
      </c>
      <c r="G20" t="s">
        <v>28</v>
      </c>
    </row>
    <row r="21" spans="1:7" x14ac:dyDescent="0.25">
      <c r="A21">
        <v>971414</v>
      </c>
      <c r="B21" t="s">
        <v>7</v>
      </c>
      <c r="C21" t="s">
        <v>8</v>
      </c>
      <c r="D21" t="s">
        <v>9</v>
      </c>
      <c r="E21">
        <v>1</v>
      </c>
      <c r="F21">
        <v>2</v>
      </c>
      <c r="G21" t="s">
        <v>29</v>
      </c>
    </row>
    <row r="22" spans="1:7" x14ac:dyDescent="0.25">
      <c r="A22">
        <v>971349</v>
      </c>
      <c r="B22" t="s">
        <v>7</v>
      </c>
      <c r="C22" t="s">
        <v>8</v>
      </c>
      <c r="D22" t="s">
        <v>9</v>
      </c>
      <c r="E22">
        <v>1</v>
      </c>
      <c r="F22">
        <v>2</v>
      </c>
      <c r="G22" t="s">
        <v>30</v>
      </c>
    </row>
    <row r="23" spans="1:7" x14ac:dyDescent="0.25">
      <c r="A23">
        <v>97650</v>
      </c>
      <c r="B23" t="s">
        <v>7</v>
      </c>
      <c r="C23" t="s">
        <v>8</v>
      </c>
      <c r="D23" t="s">
        <v>9</v>
      </c>
      <c r="E23">
        <v>1</v>
      </c>
      <c r="F23">
        <v>2</v>
      </c>
      <c r="G23" t="s">
        <v>31</v>
      </c>
    </row>
    <row r="24" spans="1:7" x14ac:dyDescent="0.25">
      <c r="A24">
        <v>97335</v>
      </c>
      <c r="B24" t="s">
        <v>7</v>
      </c>
      <c r="C24" t="s">
        <v>8</v>
      </c>
      <c r="D24" t="s">
        <v>9</v>
      </c>
      <c r="E24">
        <v>1</v>
      </c>
      <c r="F24">
        <v>2</v>
      </c>
      <c r="G24" t="s">
        <v>8</v>
      </c>
    </row>
    <row r="25" spans="1:7" x14ac:dyDescent="0.25">
      <c r="A25">
        <v>972017</v>
      </c>
      <c r="B25" t="s">
        <v>7</v>
      </c>
      <c r="C25" t="s">
        <v>8</v>
      </c>
      <c r="D25" t="s">
        <v>9</v>
      </c>
      <c r="E25">
        <v>2</v>
      </c>
      <c r="F25">
        <v>2</v>
      </c>
      <c r="G25" t="s">
        <v>32</v>
      </c>
    </row>
    <row r="26" spans="1:7" x14ac:dyDescent="0.25">
      <c r="A26">
        <v>971145</v>
      </c>
      <c r="B26" t="s">
        <v>7</v>
      </c>
      <c r="C26" t="s">
        <v>8</v>
      </c>
      <c r="D26" t="s">
        <v>9</v>
      </c>
      <c r="E26">
        <v>2</v>
      </c>
      <c r="F26">
        <v>2</v>
      </c>
      <c r="G26" t="s">
        <v>33</v>
      </c>
    </row>
    <row r="27" spans="1:7" x14ac:dyDescent="0.25">
      <c r="A27">
        <v>97734</v>
      </c>
      <c r="B27" t="s">
        <v>7</v>
      </c>
      <c r="C27" t="s">
        <v>8</v>
      </c>
      <c r="D27" t="s">
        <v>9</v>
      </c>
      <c r="E27">
        <v>2</v>
      </c>
      <c r="F27">
        <v>2</v>
      </c>
      <c r="G27" t="s">
        <v>34</v>
      </c>
    </row>
    <row r="28" spans="1:7" x14ac:dyDescent="0.25">
      <c r="A28">
        <v>97620</v>
      </c>
      <c r="B28" t="s">
        <v>7</v>
      </c>
      <c r="C28" t="s">
        <v>8</v>
      </c>
      <c r="D28" t="s">
        <v>9</v>
      </c>
      <c r="E28">
        <v>2</v>
      </c>
      <c r="F28">
        <v>2</v>
      </c>
      <c r="G28" t="s">
        <v>35</v>
      </c>
    </row>
    <row r="29" spans="1:7" x14ac:dyDescent="0.25">
      <c r="A29">
        <v>97623</v>
      </c>
      <c r="B29" t="s">
        <v>7</v>
      </c>
      <c r="C29" t="s">
        <v>8</v>
      </c>
      <c r="D29" t="s">
        <v>9</v>
      </c>
      <c r="E29">
        <v>2</v>
      </c>
      <c r="F29">
        <v>2</v>
      </c>
      <c r="G29" t="s">
        <v>36</v>
      </c>
    </row>
    <row r="30" spans="1:7" x14ac:dyDescent="0.25">
      <c r="A30" s="81" t="s">
        <v>37</v>
      </c>
      <c r="B30" t="s">
        <v>7</v>
      </c>
      <c r="C30" t="s">
        <v>8</v>
      </c>
      <c r="D30" t="s">
        <v>9</v>
      </c>
      <c r="E30">
        <v>2</v>
      </c>
      <c r="F30">
        <v>2</v>
      </c>
      <c r="G30" t="s">
        <v>38</v>
      </c>
    </row>
    <row r="31" spans="1:7" x14ac:dyDescent="0.25">
      <c r="A31">
        <v>97168</v>
      </c>
      <c r="B31" t="s">
        <v>7</v>
      </c>
      <c r="C31" t="s">
        <v>8</v>
      </c>
      <c r="D31" t="s">
        <v>9</v>
      </c>
      <c r="E31">
        <v>2</v>
      </c>
      <c r="F31">
        <v>2</v>
      </c>
      <c r="G31" t="s">
        <v>39</v>
      </c>
    </row>
    <row r="32" spans="1:7" x14ac:dyDescent="0.25">
      <c r="A32">
        <v>971022</v>
      </c>
      <c r="B32" t="s">
        <v>7</v>
      </c>
      <c r="C32" t="s">
        <v>8</v>
      </c>
      <c r="D32" t="s">
        <v>9</v>
      </c>
      <c r="E32">
        <v>2</v>
      </c>
      <c r="F32">
        <v>2</v>
      </c>
      <c r="G32" t="s">
        <v>40</v>
      </c>
    </row>
    <row r="33" spans="1:7" x14ac:dyDescent="0.25">
      <c r="A33">
        <v>97339</v>
      </c>
      <c r="B33" t="s">
        <v>7</v>
      </c>
      <c r="C33" t="s">
        <v>8</v>
      </c>
      <c r="D33" t="s">
        <v>9</v>
      </c>
      <c r="E33">
        <v>2</v>
      </c>
      <c r="F33">
        <v>2</v>
      </c>
      <c r="G33" t="s">
        <v>41</v>
      </c>
    </row>
    <row r="34" spans="1:7" x14ac:dyDescent="0.25">
      <c r="A34">
        <v>971316</v>
      </c>
      <c r="B34" t="s">
        <v>7</v>
      </c>
      <c r="C34" t="s">
        <v>8</v>
      </c>
      <c r="D34" t="s">
        <v>9</v>
      </c>
      <c r="E34">
        <v>2</v>
      </c>
      <c r="F34">
        <v>2</v>
      </c>
      <c r="G34" t="s">
        <v>42</v>
      </c>
    </row>
    <row r="35" spans="1:7" x14ac:dyDescent="0.25">
      <c r="A35" s="81" t="s">
        <v>43</v>
      </c>
      <c r="B35" t="s">
        <v>7</v>
      </c>
      <c r="C35" t="s">
        <v>8</v>
      </c>
      <c r="D35" t="s">
        <v>9</v>
      </c>
      <c r="E35">
        <v>2</v>
      </c>
      <c r="F35">
        <v>2</v>
      </c>
      <c r="G35" t="s">
        <v>44</v>
      </c>
    </row>
    <row r="36" spans="1:7" x14ac:dyDescent="0.25">
      <c r="A36" s="81" t="s">
        <v>45</v>
      </c>
      <c r="B36" t="s">
        <v>7</v>
      </c>
      <c r="C36" t="s">
        <v>8</v>
      </c>
      <c r="D36" t="s">
        <v>9</v>
      </c>
      <c r="E36">
        <v>2</v>
      </c>
      <c r="F36">
        <v>2</v>
      </c>
      <c r="G36" t="s">
        <v>46</v>
      </c>
    </row>
    <row r="37" spans="1:7" x14ac:dyDescent="0.25">
      <c r="A37">
        <v>97206</v>
      </c>
      <c r="B37" t="s">
        <v>7</v>
      </c>
      <c r="C37" t="s">
        <v>8</v>
      </c>
      <c r="D37" t="s">
        <v>9</v>
      </c>
      <c r="E37">
        <v>2</v>
      </c>
      <c r="F37">
        <v>2</v>
      </c>
      <c r="G37" t="s">
        <v>47</v>
      </c>
    </row>
    <row r="38" spans="1:7" x14ac:dyDescent="0.25">
      <c r="A38">
        <v>121434</v>
      </c>
      <c r="B38" t="s">
        <v>7</v>
      </c>
      <c r="C38" t="s">
        <v>8</v>
      </c>
      <c r="D38" t="s">
        <v>9</v>
      </c>
      <c r="E38">
        <v>2</v>
      </c>
      <c r="F38">
        <v>1</v>
      </c>
      <c r="G38" t="s">
        <v>48</v>
      </c>
    </row>
    <row r="39" spans="1:7" x14ac:dyDescent="0.25">
      <c r="A39">
        <v>121539</v>
      </c>
      <c r="B39" t="s">
        <v>7</v>
      </c>
      <c r="C39" t="s">
        <v>8</v>
      </c>
      <c r="D39" t="s">
        <v>9</v>
      </c>
      <c r="E39">
        <v>2</v>
      </c>
      <c r="F39">
        <v>1</v>
      </c>
      <c r="G39" t="s">
        <v>49</v>
      </c>
    </row>
    <row r="40" spans="1:7" x14ac:dyDescent="0.25">
      <c r="A40">
        <v>121743</v>
      </c>
      <c r="B40" t="s">
        <v>7</v>
      </c>
      <c r="C40" t="s">
        <v>8</v>
      </c>
      <c r="D40" t="s">
        <v>9</v>
      </c>
      <c r="E40">
        <v>2</v>
      </c>
      <c r="F40">
        <v>1</v>
      </c>
      <c r="G40" t="s">
        <v>50</v>
      </c>
    </row>
    <row r="41" spans="1:7" x14ac:dyDescent="0.25">
      <c r="A41">
        <v>1211312</v>
      </c>
      <c r="B41" t="s">
        <v>7</v>
      </c>
      <c r="C41" t="s">
        <v>8</v>
      </c>
      <c r="D41" t="s">
        <v>9</v>
      </c>
      <c r="E41">
        <v>2</v>
      </c>
      <c r="F41">
        <v>1</v>
      </c>
      <c r="G41" t="s">
        <v>51</v>
      </c>
    </row>
    <row r="42" spans="1:7" x14ac:dyDescent="0.25">
      <c r="A42">
        <v>121179</v>
      </c>
      <c r="B42" t="s">
        <v>7</v>
      </c>
      <c r="C42" t="s">
        <v>8</v>
      </c>
      <c r="D42" t="s">
        <v>9</v>
      </c>
      <c r="E42">
        <v>2</v>
      </c>
      <c r="F42">
        <v>1</v>
      </c>
      <c r="G42" t="s">
        <v>52</v>
      </c>
    </row>
    <row r="43" spans="1:7" x14ac:dyDescent="0.25">
      <c r="A43">
        <v>121631</v>
      </c>
      <c r="B43" t="s">
        <v>7</v>
      </c>
      <c r="C43" t="s">
        <v>8</v>
      </c>
      <c r="D43" t="s">
        <v>9</v>
      </c>
      <c r="E43">
        <v>2</v>
      </c>
      <c r="F43">
        <v>1</v>
      </c>
      <c r="G43" t="s">
        <v>53</v>
      </c>
    </row>
    <row r="44" spans="1:7" x14ac:dyDescent="0.25">
      <c r="A44">
        <v>1211019</v>
      </c>
      <c r="B44" t="s">
        <v>7</v>
      </c>
      <c r="C44" t="s">
        <v>8</v>
      </c>
      <c r="D44" t="s">
        <v>9</v>
      </c>
      <c r="E44">
        <v>2</v>
      </c>
      <c r="F44">
        <v>1</v>
      </c>
      <c r="G44" t="s">
        <v>54</v>
      </c>
    </row>
    <row r="45" spans="1:7" x14ac:dyDescent="0.25">
      <c r="A45">
        <v>1212018</v>
      </c>
      <c r="B45" t="s">
        <v>7</v>
      </c>
      <c r="C45" t="s">
        <v>8</v>
      </c>
      <c r="D45" t="s">
        <v>9</v>
      </c>
      <c r="E45">
        <v>2</v>
      </c>
      <c r="F45">
        <v>1</v>
      </c>
      <c r="G45" t="s">
        <v>55</v>
      </c>
    </row>
    <row r="46" spans="1:7" x14ac:dyDescent="0.25">
      <c r="A46">
        <v>121834</v>
      </c>
      <c r="B46" t="s">
        <v>7</v>
      </c>
      <c r="C46" t="s">
        <v>8</v>
      </c>
      <c r="D46" t="s">
        <v>9</v>
      </c>
      <c r="E46">
        <v>2</v>
      </c>
      <c r="F46">
        <v>1</v>
      </c>
      <c r="G46" t="s">
        <v>56</v>
      </c>
    </row>
    <row r="47" spans="1:7" x14ac:dyDescent="0.25">
      <c r="A47">
        <v>1211029</v>
      </c>
      <c r="B47" t="s">
        <v>7</v>
      </c>
      <c r="C47" t="s">
        <v>8</v>
      </c>
      <c r="D47" t="s">
        <v>9</v>
      </c>
      <c r="E47">
        <v>2</v>
      </c>
      <c r="F47">
        <v>1</v>
      </c>
      <c r="G47" t="s">
        <v>57</v>
      </c>
    </row>
    <row r="48" spans="1:7" x14ac:dyDescent="0.25">
      <c r="A48">
        <v>1211144</v>
      </c>
      <c r="B48" t="s">
        <v>7</v>
      </c>
      <c r="C48" t="s">
        <v>8</v>
      </c>
      <c r="D48" t="s">
        <v>9</v>
      </c>
      <c r="E48">
        <v>2</v>
      </c>
      <c r="F48">
        <v>1</v>
      </c>
      <c r="G48" t="s">
        <v>58</v>
      </c>
    </row>
    <row r="49" spans="1:7" x14ac:dyDescent="0.25">
      <c r="A49">
        <v>97730</v>
      </c>
      <c r="B49" t="s">
        <v>7</v>
      </c>
      <c r="C49" t="s">
        <v>8</v>
      </c>
      <c r="D49" t="s">
        <v>9</v>
      </c>
      <c r="E49">
        <v>2</v>
      </c>
      <c r="F49">
        <v>2</v>
      </c>
      <c r="G49" t="s">
        <v>59</v>
      </c>
    </row>
    <row r="50" spans="1:7" x14ac:dyDescent="0.25">
      <c r="A50">
        <v>121448</v>
      </c>
      <c r="B50" t="s">
        <v>7</v>
      </c>
      <c r="C50" t="s">
        <v>8</v>
      </c>
      <c r="D50" t="s">
        <v>9</v>
      </c>
      <c r="E50">
        <v>3</v>
      </c>
      <c r="F50">
        <v>1</v>
      </c>
      <c r="G50" t="s">
        <v>60</v>
      </c>
    </row>
    <row r="51" spans="1:7" x14ac:dyDescent="0.25">
      <c r="A51" s="81" t="s">
        <v>61</v>
      </c>
      <c r="B51" t="s">
        <v>7</v>
      </c>
      <c r="C51" t="s">
        <v>8</v>
      </c>
      <c r="D51" t="s">
        <v>9</v>
      </c>
      <c r="E51">
        <v>3</v>
      </c>
      <c r="F51">
        <v>1</v>
      </c>
      <c r="G51" t="s">
        <v>62</v>
      </c>
    </row>
    <row r="52" spans="1:7" x14ac:dyDescent="0.25">
      <c r="A52" s="81" t="s">
        <v>63</v>
      </c>
      <c r="B52" t="s">
        <v>7</v>
      </c>
      <c r="C52" t="s">
        <v>8</v>
      </c>
      <c r="D52" t="s">
        <v>9</v>
      </c>
      <c r="E52">
        <v>3</v>
      </c>
      <c r="F52">
        <v>1</v>
      </c>
      <c r="G52" t="s">
        <v>64</v>
      </c>
    </row>
    <row r="53" spans="1:7" x14ac:dyDescent="0.25">
      <c r="A53" s="81" t="s">
        <v>65</v>
      </c>
      <c r="B53" t="s">
        <v>7</v>
      </c>
      <c r="C53" t="s">
        <v>8</v>
      </c>
      <c r="D53" t="s">
        <v>9</v>
      </c>
      <c r="E53">
        <v>3</v>
      </c>
      <c r="F53">
        <v>1</v>
      </c>
      <c r="G53" t="s">
        <v>66</v>
      </c>
    </row>
    <row r="54" spans="1:7" x14ac:dyDescent="0.25">
      <c r="A54" s="81" t="s">
        <v>67</v>
      </c>
      <c r="B54" t="s">
        <v>7</v>
      </c>
      <c r="C54" t="s">
        <v>8</v>
      </c>
      <c r="D54" t="s">
        <v>9</v>
      </c>
      <c r="E54">
        <v>3</v>
      </c>
      <c r="F54">
        <v>1</v>
      </c>
      <c r="G54" t="s">
        <v>68</v>
      </c>
    </row>
    <row r="55" spans="1:7" x14ac:dyDescent="0.25">
      <c r="A55" s="81" t="s">
        <v>69</v>
      </c>
      <c r="B55" t="s">
        <v>7</v>
      </c>
      <c r="C55" t="s">
        <v>8</v>
      </c>
      <c r="D55" t="s">
        <v>9</v>
      </c>
      <c r="E55">
        <v>3</v>
      </c>
      <c r="F55">
        <v>1</v>
      </c>
      <c r="G55" t="s">
        <v>70</v>
      </c>
    </row>
    <row r="56" spans="1:7" x14ac:dyDescent="0.25">
      <c r="A56">
        <v>121422</v>
      </c>
      <c r="B56" t="s">
        <v>7</v>
      </c>
      <c r="C56" t="s">
        <v>8</v>
      </c>
      <c r="D56" t="s">
        <v>9</v>
      </c>
      <c r="E56">
        <v>3</v>
      </c>
      <c r="F56">
        <v>1</v>
      </c>
      <c r="G56" t="s">
        <v>71</v>
      </c>
    </row>
    <row r="57" spans="1:7" x14ac:dyDescent="0.25">
      <c r="A57">
        <v>121427</v>
      </c>
      <c r="B57" t="s">
        <v>7</v>
      </c>
      <c r="C57" t="s">
        <v>8</v>
      </c>
      <c r="D57" t="s">
        <v>9</v>
      </c>
      <c r="E57">
        <v>3</v>
      </c>
      <c r="F57">
        <v>1</v>
      </c>
      <c r="G57" t="s">
        <v>72</v>
      </c>
    </row>
    <row r="58" spans="1:7" x14ac:dyDescent="0.25">
      <c r="A58">
        <v>121138</v>
      </c>
      <c r="B58" t="s">
        <v>7</v>
      </c>
      <c r="C58" t="s">
        <v>8</v>
      </c>
      <c r="D58" t="s">
        <v>9</v>
      </c>
      <c r="E58">
        <v>3</v>
      </c>
      <c r="F58">
        <v>1</v>
      </c>
      <c r="G58" t="s">
        <v>73</v>
      </c>
    </row>
    <row r="59" spans="1:7" x14ac:dyDescent="0.25">
      <c r="A59">
        <v>121218</v>
      </c>
      <c r="B59" t="s">
        <v>7</v>
      </c>
      <c r="C59" t="s">
        <v>8</v>
      </c>
      <c r="D59" t="s">
        <v>9</v>
      </c>
      <c r="E59">
        <v>3</v>
      </c>
      <c r="F59">
        <v>1</v>
      </c>
      <c r="G59" t="s">
        <v>74</v>
      </c>
    </row>
    <row r="60" spans="1:7" x14ac:dyDescent="0.25">
      <c r="A60">
        <v>512237</v>
      </c>
      <c r="B60" t="s">
        <v>75</v>
      </c>
      <c r="C60" t="s">
        <v>8</v>
      </c>
      <c r="D60" t="s">
        <v>76</v>
      </c>
      <c r="E60">
        <v>3</v>
      </c>
      <c r="G60" t="s">
        <v>77</v>
      </c>
    </row>
    <row r="61" spans="1:7" x14ac:dyDescent="0.25">
      <c r="A61">
        <v>512421</v>
      </c>
      <c r="B61" t="s">
        <v>75</v>
      </c>
      <c r="C61" t="s">
        <v>8</v>
      </c>
      <c r="D61" t="s">
        <v>76</v>
      </c>
      <c r="E61">
        <v>3</v>
      </c>
      <c r="G61" t="s">
        <v>78</v>
      </c>
    </row>
    <row r="62" spans="1:7" x14ac:dyDescent="0.25">
      <c r="A62">
        <v>511552</v>
      </c>
      <c r="B62" t="s">
        <v>75</v>
      </c>
      <c r="C62" t="s">
        <v>8</v>
      </c>
      <c r="D62" t="s">
        <v>9</v>
      </c>
      <c r="E62">
        <v>3</v>
      </c>
      <c r="G62" t="s">
        <v>79</v>
      </c>
    </row>
    <row r="63" spans="1:7" x14ac:dyDescent="0.25">
      <c r="A63">
        <v>511137</v>
      </c>
      <c r="B63" t="s">
        <v>75</v>
      </c>
      <c r="C63" t="s">
        <v>8</v>
      </c>
      <c r="D63" t="s">
        <v>76</v>
      </c>
      <c r="E63">
        <v>3</v>
      </c>
      <c r="G63" t="s">
        <v>80</v>
      </c>
    </row>
    <row r="64" spans="1:7" x14ac:dyDescent="0.25">
      <c r="A64">
        <v>511940</v>
      </c>
      <c r="B64" t="s">
        <v>75</v>
      </c>
      <c r="C64" t="s">
        <v>8</v>
      </c>
      <c r="D64" t="s">
        <v>76</v>
      </c>
      <c r="E64">
        <v>3</v>
      </c>
      <c r="G64" t="s">
        <v>81</v>
      </c>
    </row>
    <row r="65" spans="1:7" x14ac:dyDescent="0.25">
      <c r="A65">
        <v>511720</v>
      </c>
      <c r="B65" t="s">
        <v>75</v>
      </c>
      <c r="C65" t="s">
        <v>8</v>
      </c>
      <c r="D65" t="s">
        <v>76</v>
      </c>
      <c r="E65">
        <v>3</v>
      </c>
      <c r="G65" t="s">
        <v>82</v>
      </c>
    </row>
    <row r="66" spans="1:7" x14ac:dyDescent="0.25">
      <c r="A66">
        <v>512439</v>
      </c>
      <c r="B66" t="s">
        <v>75</v>
      </c>
      <c r="C66" t="s">
        <v>8</v>
      </c>
      <c r="D66" t="s">
        <v>76</v>
      </c>
      <c r="E66">
        <v>3</v>
      </c>
      <c r="G66" t="s">
        <v>83</v>
      </c>
    </row>
    <row r="67" spans="1:7" x14ac:dyDescent="0.25">
      <c r="A67">
        <v>512142</v>
      </c>
      <c r="B67" t="s">
        <v>75</v>
      </c>
      <c r="C67" t="s">
        <v>8</v>
      </c>
      <c r="D67" t="s">
        <v>76</v>
      </c>
      <c r="E67">
        <v>3</v>
      </c>
      <c r="G67" t="s">
        <v>84</v>
      </c>
    </row>
    <row r="68" spans="1:7" x14ac:dyDescent="0.25">
      <c r="A68">
        <v>511837</v>
      </c>
      <c r="B68" t="s">
        <v>75</v>
      </c>
      <c r="C68" t="s">
        <v>8</v>
      </c>
      <c r="D68" t="s">
        <v>76</v>
      </c>
      <c r="E68">
        <v>3</v>
      </c>
      <c r="G68" t="s">
        <v>85</v>
      </c>
    </row>
    <row r="69" spans="1:7" x14ac:dyDescent="0.25">
      <c r="A69">
        <v>511628</v>
      </c>
      <c r="B69" t="s">
        <v>75</v>
      </c>
      <c r="C69" t="s">
        <v>8</v>
      </c>
      <c r="D69" t="s">
        <v>76</v>
      </c>
      <c r="E69">
        <v>3</v>
      </c>
      <c r="G69" t="s">
        <v>86</v>
      </c>
    </row>
    <row r="70" spans="1:7" x14ac:dyDescent="0.25">
      <c r="A70">
        <v>511440</v>
      </c>
      <c r="B70" t="s">
        <v>75</v>
      </c>
      <c r="C70" t="s">
        <v>8</v>
      </c>
      <c r="D70" t="s">
        <v>76</v>
      </c>
      <c r="E70">
        <v>3</v>
      </c>
      <c r="G70" t="s">
        <v>87</v>
      </c>
    </row>
    <row r="71" spans="1:7" x14ac:dyDescent="0.25">
      <c r="A71">
        <v>971437</v>
      </c>
      <c r="B71" t="s">
        <v>75</v>
      </c>
      <c r="C71" t="s">
        <v>8</v>
      </c>
      <c r="D71" t="s">
        <v>76</v>
      </c>
      <c r="E71">
        <v>3</v>
      </c>
      <c r="G71" t="s">
        <v>88</v>
      </c>
    </row>
    <row r="72" spans="1:7" x14ac:dyDescent="0.25">
      <c r="A72">
        <v>971721</v>
      </c>
      <c r="B72" t="s">
        <v>75</v>
      </c>
      <c r="C72" t="s">
        <v>8</v>
      </c>
      <c r="D72" t="s">
        <v>76</v>
      </c>
      <c r="E72">
        <v>3</v>
      </c>
      <c r="G72" t="s">
        <v>89</v>
      </c>
    </row>
    <row r="73" spans="1:7" x14ac:dyDescent="0.25">
      <c r="A73">
        <v>972329</v>
      </c>
      <c r="B73" t="s">
        <v>75</v>
      </c>
      <c r="C73" t="s">
        <v>8</v>
      </c>
      <c r="D73" t="s">
        <v>76</v>
      </c>
      <c r="E73">
        <v>3</v>
      </c>
      <c r="G73" t="s">
        <v>90</v>
      </c>
    </row>
    <row r="74" spans="1:7" x14ac:dyDescent="0.25">
      <c r="A74">
        <v>971542</v>
      </c>
      <c r="B74" t="s">
        <v>75</v>
      </c>
      <c r="C74" t="s">
        <v>8</v>
      </c>
      <c r="D74" t="s">
        <v>76</v>
      </c>
      <c r="E74">
        <v>3</v>
      </c>
      <c r="G74" t="s">
        <v>91</v>
      </c>
    </row>
    <row r="75" spans="1:7" x14ac:dyDescent="0.25">
      <c r="A75">
        <v>971453</v>
      </c>
      <c r="B75" t="s">
        <v>75</v>
      </c>
      <c r="C75" t="s">
        <v>8</v>
      </c>
      <c r="D75" t="s">
        <v>76</v>
      </c>
      <c r="E75">
        <v>4</v>
      </c>
      <c r="G75" t="s">
        <v>92</v>
      </c>
    </row>
    <row r="76" spans="1:7" x14ac:dyDescent="0.25">
      <c r="A76">
        <v>971941</v>
      </c>
      <c r="B76" t="s">
        <v>75</v>
      </c>
      <c r="C76" t="s">
        <v>8</v>
      </c>
      <c r="D76" t="s">
        <v>76</v>
      </c>
      <c r="E76">
        <v>4</v>
      </c>
      <c r="G76" t="s">
        <v>93</v>
      </c>
    </row>
    <row r="77" spans="1:7" x14ac:dyDescent="0.25">
      <c r="A77">
        <v>972135</v>
      </c>
      <c r="B77" t="s">
        <v>75</v>
      </c>
      <c r="C77" t="s">
        <v>8</v>
      </c>
      <c r="D77" t="s">
        <v>76</v>
      </c>
      <c r="E77">
        <v>4</v>
      </c>
      <c r="G77" t="s">
        <v>94</v>
      </c>
    </row>
    <row r="78" spans="1:7" x14ac:dyDescent="0.25">
      <c r="A78">
        <v>971427</v>
      </c>
      <c r="B78" t="s">
        <v>75</v>
      </c>
      <c r="C78" t="s">
        <v>8</v>
      </c>
      <c r="D78" t="s">
        <v>76</v>
      </c>
      <c r="E78">
        <v>4</v>
      </c>
      <c r="G78" t="s">
        <v>95</v>
      </c>
    </row>
    <row r="79" spans="1:7" x14ac:dyDescent="0.25">
      <c r="A79">
        <v>971826</v>
      </c>
      <c r="B79" t="s">
        <v>75</v>
      </c>
      <c r="C79" t="s">
        <v>8</v>
      </c>
      <c r="D79" t="s">
        <v>76</v>
      </c>
      <c r="E79">
        <v>4</v>
      </c>
      <c r="G79" t="s">
        <v>96</v>
      </c>
    </row>
    <row r="80" spans="1:7" x14ac:dyDescent="0.25">
      <c r="A80">
        <v>972144</v>
      </c>
      <c r="B80" t="s">
        <v>75</v>
      </c>
      <c r="C80" t="s">
        <v>8</v>
      </c>
      <c r="D80" t="s">
        <v>76</v>
      </c>
      <c r="E80">
        <v>4</v>
      </c>
      <c r="G80" t="s">
        <v>97</v>
      </c>
    </row>
    <row r="81" spans="1:7" x14ac:dyDescent="0.25">
      <c r="A81">
        <v>971930</v>
      </c>
      <c r="B81" t="s">
        <v>75</v>
      </c>
      <c r="C81" t="s">
        <v>8</v>
      </c>
      <c r="D81" t="s">
        <v>76</v>
      </c>
      <c r="E81">
        <v>4</v>
      </c>
      <c r="G81" t="s">
        <v>98</v>
      </c>
    </row>
    <row r="82" spans="1:7" x14ac:dyDescent="0.25">
      <c r="A82">
        <v>972525</v>
      </c>
      <c r="B82" t="s">
        <v>75</v>
      </c>
      <c r="C82" t="s">
        <v>8</v>
      </c>
      <c r="D82" t="s">
        <v>76</v>
      </c>
      <c r="E82">
        <v>4</v>
      </c>
      <c r="G82" t="s">
        <v>99</v>
      </c>
    </row>
    <row r="83" spans="1:7" x14ac:dyDescent="0.25">
      <c r="A83">
        <v>971747</v>
      </c>
      <c r="B83" t="s">
        <v>75</v>
      </c>
      <c r="C83" t="s">
        <v>8</v>
      </c>
      <c r="D83" t="s">
        <v>76</v>
      </c>
      <c r="E83">
        <v>4</v>
      </c>
      <c r="G83" t="s">
        <v>100</v>
      </c>
    </row>
    <row r="84" spans="1:7" x14ac:dyDescent="0.25">
      <c r="A84">
        <v>1211715</v>
      </c>
      <c r="B84" t="s">
        <v>75</v>
      </c>
      <c r="C84" t="s">
        <v>8</v>
      </c>
      <c r="D84" t="s">
        <v>76</v>
      </c>
      <c r="E84">
        <v>4</v>
      </c>
      <c r="G84" t="s">
        <v>101</v>
      </c>
    </row>
    <row r="85" spans="1:7" x14ac:dyDescent="0.25">
      <c r="A85">
        <v>1212031</v>
      </c>
      <c r="B85" t="s">
        <v>75</v>
      </c>
      <c r="C85" t="s">
        <v>8</v>
      </c>
      <c r="D85" t="s">
        <v>76</v>
      </c>
      <c r="E85">
        <v>4</v>
      </c>
      <c r="G85" t="s">
        <v>102</v>
      </c>
    </row>
    <row r="86" spans="1:7" x14ac:dyDescent="0.25">
      <c r="A86">
        <v>1211425</v>
      </c>
      <c r="B86" t="s">
        <v>75</v>
      </c>
      <c r="C86" t="s">
        <v>8</v>
      </c>
      <c r="D86" t="s">
        <v>76</v>
      </c>
      <c r="E86">
        <v>4</v>
      </c>
      <c r="G86" t="s">
        <v>103</v>
      </c>
    </row>
    <row r="87" spans="1:7" x14ac:dyDescent="0.25">
      <c r="A87">
        <v>1212521</v>
      </c>
      <c r="B87" t="s">
        <v>75</v>
      </c>
      <c r="C87" t="s">
        <v>8</v>
      </c>
      <c r="D87" t="s">
        <v>76</v>
      </c>
      <c r="E87">
        <v>4</v>
      </c>
      <c r="G87" t="s">
        <v>104</v>
      </c>
    </row>
    <row r="88" spans="1:7" x14ac:dyDescent="0.25">
      <c r="A88">
        <v>1211828</v>
      </c>
      <c r="B88" t="s">
        <v>75</v>
      </c>
      <c r="C88" t="s">
        <v>8</v>
      </c>
      <c r="D88" t="s">
        <v>76</v>
      </c>
      <c r="E88">
        <v>4</v>
      </c>
      <c r="G88" t="s">
        <v>105</v>
      </c>
    </row>
    <row r="89" spans="1:7" x14ac:dyDescent="0.25">
      <c r="A89">
        <v>1211530</v>
      </c>
      <c r="B89" t="s">
        <v>75</v>
      </c>
      <c r="C89" t="s">
        <v>8</v>
      </c>
      <c r="D89" t="s">
        <v>76</v>
      </c>
      <c r="E89">
        <v>4</v>
      </c>
      <c r="G89" t="s">
        <v>106</v>
      </c>
    </row>
    <row r="90" spans="1:7" x14ac:dyDescent="0.25">
      <c r="A90">
        <v>1212232</v>
      </c>
      <c r="B90" t="s">
        <v>75</v>
      </c>
      <c r="C90" t="s">
        <v>8</v>
      </c>
      <c r="D90" t="s">
        <v>76</v>
      </c>
      <c r="E90">
        <v>4</v>
      </c>
      <c r="G90" t="s">
        <v>107</v>
      </c>
    </row>
    <row r="91" spans="1:7" x14ac:dyDescent="0.25">
      <c r="A91">
        <v>1211922</v>
      </c>
      <c r="B91" t="s">
        <v>75</v>
      </c>
      <c r="C91" t="s">
        <v>8</v>
      </c>
      <c r="D91" t="s">
        <v>76</v>
      </c>
      <c r="E91">
        <v>4</v>
      </c>
      <c r="G91" t="s">
        <v>108</v>
      </c>
    </row>
    <row r="92" spans="1:7" x14ac:dyDescent="0.25">
      <c r="A92">
        <v>1211835</v>
      </c>
      <c r="B92" t="s">
        <v>75</v>
      </c>
      <c r="C92" t="s">
        <v>8</v>
      </c>
      <c r="D92" t="s">
        <v>76</v>
      </c>
      <c r="E92">
        <v>4</v>
      </c>
      <c r="G92" t="s">
        <v>109</v>
      </c>
    </row>
    <row r="93" spans="1:7" x14ac:dyDescent="0.25">
      <c r="A93">
        <v>1212427</v>
      </c>
      <c r="B93" t="s">
        <v>75</v>
      </c>
      <c r="C93" t="s">
        <v>8</v>
      </c>
      <c r="D93" t="s">
        <v>76</v>
      </c>
      <c r="E93">
        <v>4</v>
      </c>
      <c r="G93" t="s">
        <v>110</v>
      </c>
    </row>
    <row r="94" spans="1:7" x14ac:dyDescent="0.25">
      <c r="A94">
        <v>1211339</v>
      </c>
      <c r="B94" t="s">
        <v>75</v>
      </c>
      <c r="C94" t="s">
        <v>8</v>
      </c>
      <c r="D94" t="s">
        <v>76</v>
      </c>
      <c r="E94">
        <v>4</v>
      </c>
      <c r="G94" t="s">
        <v>111</v>
      </c>
    </row>
    <row r="95" spans="1:7" x14ac:dyDescent="0.25">
      <c r="A95">
        <v>1211650</v>
      </c>
      <c r="B95" t="s">
        <v>75</v>
      </c>
      <c r="C95" t="s">
        <v>8</v>
      </c>
      <c r="D95" t="s">
        <v>76</v>
      </c>
      <c r="E95">
        <v>4</v>
      </c>
      <c r="G95" t="s">
        <v>112</v>
      </c>
    </row>
    <row r="96" spans="1:7" x14ac:dyDescent="0.25">
      <c r="A96">
        <v>532328</v>
      </c>
      <c r="B96" t="s">
        <v>75</v>
      </c>
      <c r="C96" t="s">
        <v>8</v>
      </c>
      <c r="D96" t="s">
        <v>76</v>
      </c>
      <c r="E96">
        <v>4</v>
      </c>
      <c r="G96" t="s">
        <v>113</v>
      </c>
    </row>
    <row r="97" spans="1:5" x14ac:dyDescent="0.25">
      <c r="E97" t="s">
        <v>114</v>
      </c>
    </row>
    <row r="98" spans="1:5" x14ac:dyDescent="0.25">
      <c r="A98">
        <v>511811</v>
      </c>
      <c r="B98" t="s">
        <v>7</v>
      </c>
      <c r="C98" t="s">
        <v>8</v>
      </c>
      <c r="D98" t="s">
        <v>9</v>
      </c>
    </row>
    <row r="99" spans="1:5" x14ac:dyDescent="0.25">
      <c r="A99">
        <v>511346</v>
      </c>
      <c r="B99" t="s">
        <v>7</v>
      </c>
      <c r="C99" t="s">
        <v>8</v>
      </c>
      <c r="D99" t="s">
        <v>9</v>
      </c>
    </row>
  </sheetData>
  <conditionalFormatting sqref="C2:C99">
    <cfRule type="notContainsBlanks" dxfId="0" priority="1">
      <formula>LEN(TRIM(C2))&gt;0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1952-3942-45A3-A9AF-7DC548DF491E}">
  <dimension ref="A1:F97"/>
  <sheetViews>
    <sheetView topLeftCell="A34" workbookViewId="0">
      <selection activeCell="F49" sqref="F49"/>
    </sheetView>
  </sheetViews>
  <sheetFormatPr defaultRowHeight="15" x14ac:dyDescent="0.25"/>
  <cols>
    <col min="4" max="4" width="12" customWidth="1"/>
  </cols>
  <sheetData>
    <row r="1" spans="1:6" x14ac:dyDescent="0.25">
      <c r="A1" t="s">
        <v>0</v>
      </c>
      <c r="B1" t="s">
        <v>115</v>
      </c>
      <c r="C1" t="s">
        <v>1</v>
      </c>
      <c r="D1" t="s">
        <v>116</v>
      </c>
      <c r="E1" t="s">
        <v>117</v>
      </c>
      <c r="F1" t="s">
        <v>6</v>
      </c>
    </row>
    <row r="2" spans="1:6" x14ac:dyDescent="0.25">
      <c r="A2">
        <v>511417</v>
      </c>
      <c r="B2" t="s">
        <v>118</v>
      </c>
      <c r="C2" t="s">
        <v>7</v>
      </c>
      <c r="D2" t="s">
        <v>119</v>
      </c>
      <c r="E2">
        <f>AVERAGE(AM!X3,AM!X23,AM!X43,AM!X63,AM!X82,AM!X101)</f>
        <v>1.3322501328283431</v>
      </c>
    </row>
    <row r="3" spans="1:6" x14ac:dyDescent="0.25">
      <c r="A3">
        <v>51848</v>
      </c>
      <c r="B3" t="s">
        <v>120</v>
      </c>
      <c r="C3" t="s">
        <v>7</v>
      </c>
      <c r="D3" t="s">
        <v>119</v>
      </c>
      <c r="E3">
        <f>AVERAGE(AM!X4,AM!X24,AM!X44,AM!X64,AM!X83,AM!X102)</f>
        <v>1.1468140128674147</v>
      </c>
    </row>
    <row r="4" spans="1:6" x14ac:dyDescent="0.25">
      <c r="A4">
        <v>511156</v>
      </c>
      <c r="B4" t="s">
        <v>76</v>
      </c>
      <c r="C4" t="s">
        <v>7</v>
      </c>
      <c r="D4" t="s">
        <v>119</v>
      </c>
      <c r="E4">
        <f>AVERAGE(AM!X5,AM!X25,AM!X45,AM!X65,AM!X84,AM!X103)</f>
        <v>1.0536246414292423</v>
      </c>
    </row>
    <row r="5" spans="1:6" x14ac:dyDescent="0.25">
      <c r="A5">
        <v>511031</v>
      </c>
      <c r="B5" t="s">
        <v>121</v>
      </c>
      <c r="C5" t="s">
        <v>7</v>
      </c>
      <c r="D5" t="s">
        <v>119</v>
      </c>
      <c r="E5">
        <f>AVERAGE(AM!X6,AM!X26,AM!X46)</f>
        <v>0.54111738863217373</v>
      </c>
    </row>
    <row r="6" spans="1:6" x14ac:dyDescent="0.25">
      <c r="A6">
        <v>51334</v>
      </c>
      <c r="B6" t="s">
        <v>122</v>
      </c>
      <c r="C6" t="s">
        <v>7</v>
      </c>
      <c r="D6" t="s">
        <v>119</v>
      </c>
      <c r="E6">
        <f>AVERAGE(AM!X7,AM!X27,AM!X47,AM!X66,AM!X85,AM!X104)</f>
        <v>1.0626310476984935</v>
      </c>
    </row>
    <row r="7" spans="1:6" x14ac:dyDescent="0.25">
      <c r="A7">
        <v>51717</v>
      </c>
      <c r="B7" t="s">
        <v>123</v>
      </c>
      <c r="C7" t="s">
        <v>7</v>
      </c>
      <c r="D7" t="s">
        <v>119</v>
      </c>
      <c r="E7">
        <f>AVERAGE(AM!X8,AM!X28,AM!X48,AM!X67,AM!X86,AM!X105)</f>
        <v>0.84902422430198099</v>
      </c>
    </row>
    <row r="8" spans="1:6" x14ac:dyDescent="0.25">
      <c r="A8">
        <v>51639</v>
      </c>
      <c r="B8" t="s">
        <v>124</v>
      </c>
      <c r="C8" t="s">
        <v>7</v>
      </c>
      <c r="D8" t="s">
        <v>119</v>
      </c>
      <c r="E8">
        <f>AVERAGE(AM!X9,AM!X29,AM!X49,AM!X68,AM!X87,AM!X106)</f>
        <v>1.6483893899756126</v>
      </c>
    </row>
    <row r="9" spans="1:6" x14ac:dyDescent="0.25">
      <c r="A9">
        <v>51833</v>
      </c>
      <c r="B9" t="s">
        <v>125</v>
      </c>
      <c r="C9" t="s">
        <v>7</v>
      </c>
      <c r="D9" t="s">
        <v>119</v>
      </c>
      <c r="E9">
        <f>AVERAGE(AM!X10,AM!X30,AM!X50,AM!X69,AM!X88,AM!X107)</f>
        <v>1.1954452681311694</v>
      </c>
    </row>
    <row r="10" spans="1:6" x14ac:dyDescent="0.25">
      <c r="A10">
        <v>511325</v>
      </c>
      <c r="B10" t="s">
        <v>126</v>
      </c>
      <c r="C10" t="s">
        <v>7</v>
      </c>
      <c r="D10" t="s">
        <v>119</v>
      </c>
      <c r="E10">
        <f>AVERAGE(AM!X11,AM!X31,AM!X51,AM!X70,AM!X89,AM!X108)</f>
        <v>1.2377940668007039</v>
      </c>
    </row>
    <row r="11" spans="1:6" x14ac:dyDescent="0.25">
      <c r="A11">
        <v>511346</v>
      </c>
      <c r="B11" t="s">
        <v>127</v>
      </c>
      <c r="C11" t="s">
        <v>7</v>
      </c>
      <c r="D11" t="s">
        <v>119</v>
      </c>
      <c r="E11">
        <f>AVERAGE(AM!X12,AM!X32,AM!X52,AM!X71,AM!X90,AM!X109)</f>
        <v>1.9399410608504801</v>
      </c>
    </row>
    <row r="12" spans="1:6" x14ac:dyDescent="0.25">
      <c r="A12">
        <v>511221</v>
      </c>
      <c r="B12" t="s">
        <v>128</v>
      </c>
      <c r="C12" t="s">
        <v>7</v>
      </c>
      <c r="D12" t="s">
        <v>119</v>
      </c>
      <c r="E12">
        <f>AVERAGE(AM!X13,AM!X33,AM!X53,AM!X72,AM!X91,AM!X110)</f>
        <v>1.1036306786162207</v>
      </c>
    </row>
    <row r="13" spans="1:6" x14ac:dyDescent="0.25">
      <c r="A13">
        <v>512217</v>
      </c>
      <c r="B13" t="s">
        <v>129</v>
      </c>
      <c r="C13" t="s">
        <v>7</v>
      </c>
      <c r="D13" t="s">
        <v>119</v>
      </c>
      <c r="E13">
        <f>AVERAGE(AM!X14,AM!X34,AM!X54,AM!X73,AM!X92,AM!X111)</f>
        <v>0.98681774834062919</v>
      </c>
    </row>
    <row r="14" spans="1:6" x14ac:dyDescent="0.25">
      <c r="A14">
        <v>51746</v>
      </c>
      <c r="B14" t="s">
        <v>130</v>
      </c>
      <c r="C14" t="s">
        <v>7</v>
      </c>
      <c r="D14" t="s">
        <v>119</v>
      </c>
      <c r="E14">
        <f>AVERAGE(AM!X15,AM!X35,AM!X55,AM!X74,AM!X93,AM!X112)</f>
        <v>0.77390281693211216</v>
      </c>
    </row>
    <row r="15" spans="1:6" x14ac:dyDescent="0.25">
      <c r="A15">
        <v>511811</v>
      </c>
      <c r="B15" t="s">
        <v>131</v>
      </c>
      <c r="C15" t="s">
        <v>7</v>
      </c>
      <c r="D15" t="s">
        <v>119</v>
      </c>
      <c r="E15">
        <f>AVERAGE(AM!X16,AM!X36,AM!X56,AM!X75,AM!X94,AM!X113)</f>
        <v>1.6320997860128286</v>
      </c>
    </row>
    <row r="16" spans="1:6" x14ac:dyDescent="0.25">
      <c r="A16">
        <v>51525</v>
      </c>
      <c r="B16" t="s">
        <v>132</v>
      </c>
      <c r="C16" t="s">
        <v>7</v>
      </c>
      <c r="D16" t="s">
        <v>119</v>
      </c>
      <c r="E16">
        <f>AVERAGE(AM!X17,AM!X37,AM!X57,AM!X76,AM!X95,AM!X114)</f>
        <v>1.0921209505702285</v>
      </c>
    </row>
    <row r="17" spans="1:5" x14ac:dyDescent="0.25">
      <c r="A17">
        <v>51185</v>
      </c>
      <c r="B17" t="s">
        <v>9</v>
      </c>
      <c r="C17" t="s">
        <v>7</v>
      </c>
      <c r="D17" t="s">
        <v>119</v>
      </c>
      <c r="E17">
        <f>AVERAGE(AM!X18,AM!X38,AM!X58,AM!X77,AM!X96,AM!X115)</f>
        <v>1.6322714921066612</v>
      </c>
    </row>
    <row r="18" spans="1:5" x14ac:dyDescent="0.25">
      <c r="A18">
        <v>511052</v>
      </c>
      <c r="B18" t="s">
        <v>133</v>
      </c>
      <c r="C18" t="s">
        <v>7</v>
      </c>
      <c r="D18" t="s">
        <v>119</v>
      </c>
      <c r="E18">
        <f>AVERAGE(AM!X19,AM!X39,AM!X59,AM!X78,AM!X97,AM!X116)</f>
        <v>1.0416147165318113</v>
      </c>
    </row>
    <row r="19" spans="1:5" x14ac:dyDescent="0.25">
      <c r="A19">
        <v>51826</v>
      </c>
      <c r="B19" t="s">
        <v>134</v>
      </c>
      <c r="C19" t="s">
        <v>7</v>
      </c>
      <c r="D19" t="s">
        <v>119</v>
      </c>
      <c r="E19">
        <f>AVERAGE(AM!X20,AM!X40,AM!X60,AM!X79,AM!X98,AM!X117)</f>
        <v>1.1463484333488221</v>
      </c>
    </row>
    <row r="20" spans="1:5" x14ac:dyDescent="0.25">
      <c r="A20">
        <v>512014</v>
      </c>
      <c r="B20" t="s">
        <v>135</v>
      </c>
      <c r="C20" t="s">
        <v>7</v>
      </c>
      <c r="D20" t="s">
        <v>119</v>
      </c>
      <c r="E20">
        <f>AVERAGE(AM!X21,AM!X41,AM!X61,AM!X80,AM!X99,AM!X118)</f>
        <v>1.1300852056062041</v>
      </c>
    </row>
    <row r="21" spans="1:5" x14ac:dyDescent="0.25">
      <c r="A21">
        <v>97918</v>
      </c>
      <c r="B21" s="82" t="s">
        <v>136</v>
      </c>
      <c r="C21" t="s">
        <v>7</v>
      </c>
      <c r="D21" t="s">
        <v>137</v>
      </c>
      <c r="E21">
        <f>AVERAGE(AR!Y3,AR!Y24,AR!Y45,AR!Y66,AR!Y87,AR!Y108)</f>
        <v>1.2450331624811886</v>
      </c>
    </row>
    <row r="22" spans="1:5" x14ac:dyDescent="0.25">
      <c r="A22">
        <v>97231</v>
      </c>
      <c r="B22" s="82" t="s">
        <v>138</v>
      </c>
      <c r="C22" t="s">
        <v>7</v>
      </c>
      <c r="D22" t="s">
        <v>137</v>
      </c>
      <c r="E22">
        <f>AVERAGE(AR!Y4,AR!Y25,AR!Y46,AR!Y67,AR!Y88,AR!Y109)</f>
        <v>1.3401104907603436</v>
      </c>
    </row>
    <row r="23" spans="1:5" x14ac:dyDescent="0.25">
      <c r="A23">
        <v>971414</v>
      </c>
      <c r="B23" s="82" t="s">
        <v>139</v>
      </c>
      <c r="C23" t="s">
        <v>7</v>
      </c>
      <c r="D23" t="s">
        <v>137</v>
      </c>
      <c r="E23">
        <f>AVERAGE(AR!Y5,AR!Y26,AR!Y47,AR!Y68,AR!Y89,AR!Y110)</f>
        <v>0.9753415016858531</v>
      </c>
    </row>
    <row r="24" spans="1:5" x14ac:dyDescent="0.25">
      <c r="A24">
        <v>971349</v>
      </c>
      <c r="B24" s="82" t="s">
        <v>140</v>
      </c>
      <c r="C24" t="s">
        <v>7</v>
      </c>
      <c r="D24" t="s">
        <v>137</v>
      </c>
      <c r="E24">
        <f>AVERAGE(AR!Y6,AR!Y27,AR!Y48,AR!Y69,AR!Y90,AR!Y111)</f>
        <v>0.90309389761698322</v>
      </c>
    </row>
    <row r="25" spans="1:5" x14ac:dyDescent="0.25">
      <c r="A25">
        <v>97650</v>
      </c>
      <c r="B25" s="82" t="s">
        <v>141</v>
      </c>
      <c r="C25" t="s">
        <v>7</v>
      </c>
      <c r="D25" t="s">
        <v>137</v>
      </c>
      <c r="E25">
        <f>AVERAGE(AR!Y7,AR!Y28,AR!Y49,AR!Y70,AR!Y91,AR!Y112)</f>
        <v>1.5890522448364692</v>
      </c>
    </row>
    <row r="26" spans="1:5" x14ac:dyDescent="0.25">
      <c r="A26">
        <v>97335</v>
      </c>
      <c r="B26" s="82" t="s">
        <v>142</v>
      </c>
      <c r="C26" t="s">
        <v>7</v>
      </c>
      <c r="D26" t="s">
        <v>137</v>
      </c>
      <c r="E26">
        <f>AVERAGE(AR!Y8,AR!Y29,AR!Y50,AR!Y71,AR!Y92,AR!Y113)</f>
        <v>1.1874771561494637</v>
      </c>
    </row>
    <row r="27" spans="1:5" x14ac:dyDescent="0.25">
      <c r="A27">
        <v>97730</v>
      </c>
      <c r="B27" s="82" t="s">
        <v>143</v>
      </c>
      <c r="C27" t="s">
        <v>7</v>
      </c>
      <c r="D27" t="s">
        <v>137</v>
      </c>
      <c r="E27">
        <f>AVERAGE(AR!Y9,AR!Y30,AR!Y51,AR!Y72,AR!Y93,AR!Y114)</f>
        <v>1.1773161937041836</v>
      </c>
    </row>
    <row r="28" spans="1:5" x14ac:dyDescent="0.25">
      <c r="A28">
        <v>972017</v>
      </c>
      <c r="B28" s="82" t="s">
        <v>144</v>
      </c>
      <c r="C28" t="s">
        <v>7</v>
      </c>
      <c r="D28" t="s">
        <v>137</v>
      </c>
      <c r="E28">
        <f>AVERAGE(AR!Y10,AR!Y31,AR!Y52,AR!Y73,AR!Y94,AR!Y115)</f>
        <v>1.1939778775052015</v>
      </c>
    </row>
    <row r="29" spans="1:5" x14ac:dyDescent="0.25">
      <c r="A29">
        <v>971145</v>
      </c>
      <c r="B29" s="82" t="s">
        <v>145</v>
      </c>
      <c r="C29" t="s">
        <v>7</v>
      </c>
      <c r="D29" t="s">
        <v>137</v>
      </c>
      <c r="E29">
        <f>AVERAGE(AR!Y11,AR!Y32,AR!Y53,AR!Y74,AR!Y95,AR!Y116)</f>
        <v>1.5176989362889028</v>
      </c>
    </row>
    <row r="30" spans="1:5" x14ac:dyDescent="0.25">
      <c r="A30">
        <v>97734</v>
      </c>
      <c r="B30" s="82" t="s">
        <v>146</v>
      </c>
      <c r="C30" t="s">
        <v>7</v>
      </c>
      <c r="D30" t="s">
        <v>137</v>
      </c>
      <c r="E30">
        <f>AVERAGE(AR!Y12,AR!Y33,AR!Y54,AR!Y75,AR!Y96,AR!Y117)</f>
        <v>1.0036233033036244</v>
      </c>
    </row>
    <row r="31" spans="1:5" x14ac:dyDescent="0.25">
      <c r="A31">
        <v>97620</v>
      </c>
      <c r="B31" s="82" t="s">
        <v>147</v>
      </c>
      <c r="C31" t="s">
        <v>7</v>
      </c>
      <c r="D31" t="s">
        <v>137</v>
      </c>
      <c r="E31">
        <f>AVERAGE(AR!Y13,AR!Y34,AR!Y55,AR!Y76,AR!Y97,AR!Y118)</f>
        <v>1.0955377658287198</v>
      </c>
    </row>
    <row r="32" spans="1:5" x14ac:dyDescent="0.25">
      <c r="A32">
        <v>97623</v>
      </c>
      <c r="B32" s="82" t="s">
        <v>148</v>
      </c>
      <c r="C32" t="s">
        <v>7</v>
      </c>
      <c r="D32" t="s">
        <v>137</v>
      </c>
      <c r="E32">
        <f>AVERAGE(AR!Y14,AR!Y35,AR!Y56,AR!Y77,AR!Y98,AR!Y119)</f>
        <v>0.96023175034151187</v>
      </c>
    </row>
    <row r="33" spans="1:6" x14ac:dyDescent="0.25">
      <c r="A33" t="s">
        <v>37</v>
      </c>
      <c r="B33" s="82" t="s">
        <v>149</v>
      </c>
      <c r="C33" t="s">
        <v>7</v>
      </c>
      <c r="D33" t="s">
        <v>137</v>
      </c>
      <c r="E33">
        <f>AVERAGE(AR!Y15,AR!Y36,AR!Y57,AR!Y78,AR!Y99,AR!Y120)</f>
        <v>1.1160101034984402</v>
      </c>
    </row>
    <row r="34" spans="1:6" x14ac:dyDescent="0.25">
      <c r="A34">
        <v>97168</v>
      </c>
      <c r="B34" s="82" t="s">
        <v>150</v>
      </c>
      <c r="C34" t="s">
        <v>7</v>
      </c>
      <c r="D34" t="s">
        <v>137</v>
      </c>
      <c r="E34">
        <f>AVERAGE(AR!Y16,AR!Y37,AR!Y58,AR!Y79,AR!Y100,AR!Y121)</f>
        <v>0.78535990183894155</v>
      </c>
    </row>
    <row r="35" spans="1:6" x14ac:dyDescent="0.25">
      <c r="A35">
        <v>971022</v>
      </c>
      <c r="B35" s="82" t="s">
        <v>151</v>
      </c>
      <c r="C35" t="s">
        <v>7</v>
      </c>
      <c r="D35" t="s">
        <v>137</v>
      </c>
      <c r="E35">
        <f>AVERAGE(AR!Y17,AR!Y38,AR!Y59,AR!Y80,AR!Y101,AR!Y122)</f>
        <v>1.2470317332214511</v>
      </c>
    </row>
    <row r="36" spans="1:6" x14ac:dyDescent="0.25">
      <c r="A36">
        <v>97339</v>
      </c>
      <c r="B36" s="82" t="s">
        <v>152</v>
      </c>
      <c r="C36" t="s">
        <v>7</v>
      </c>
      <c r="D36" t="s">
        <v>137</v>
      </c>
      <c r="E36">
        <f>AVERAGE(AR!Y18,AR!Y39,AR!Y60,AR!Y81,AR!Y102,AR!Y123)</f>
        <v>1.3985106859560335</v>
      </c>
    </row>
    <row r="37" spans="1:6" x14ac:dyDescent="0.25">
      <c r="A37">
        <v>971316</v>
      </c>
      <c r="B37" s="82" t="s">
        <v>153</v>
      </c>
      <c r="C37" t="s">
        <v>7</v>
      </c>
      <c r="D37" t="s">
        <v>137</v>
      </c>
      <c r="E37">
        <f>AVERAGE(AR!Y19,AR!Y40,AR!Y61,AR!Y82,AR!Y103,AR!Y124)</f>
        <v>0.97646919922801267</v>
      </c>
    </row>
    <row r="38" spans="1:6" x14ac:dyDescent="0.25">
      <c r="A38" t="s">
        <v>43</v>
      </c>
      <c r="B38" s="82" t="s">
        <v>154</v>
      </c>
      <c r="C38" t="s">
        <v>7</v>
      </c>
      <c r="D38" t="s">
        <v>137</v>
      </c>
      <c r="E38">
        <f>AVERAGE(AR!Y20,AR!Y41,AR!Y62,AR!Y83,AR!Y104,AR!Y125)</f>
        <v>0.92800562048046853</v>
      </c>
    </row>
    <row r="39" spans="1:6" x14ac:dyDescent="0.25">
      <c r="A39" t="s">
        <v>45</v>
      </c>
      <c r="B39" s="82" t="s">
        <v>155</v>
      </c>
      <c r="C39" t="s">
        <v>7</v>
      </c>
      <c r="D39" t="s">
        <v>137</v>
      </c>
      <c r="E39">
        <f>AVERAGE(AR!Y21,AR!Y42,AR!Y63,AR!Y84,AR!Y105,AR!Y126)</f>
        <v>1.3274313558537643</v>
      </c>
    </row>
    <row r="40" spans="1:6" x14ac:dyDescent="0.25">
      <c r="A40">
        <v>97206</v>
      </c>
      <c r="B40" s="82" t="s">
        <v>156</v>
      </c>
      <c r="C40" t="s">
        <v>7</v>
      </c>
      <c r="D40" t="s">
        <v>137</v>
      </c>
      <c r="E40">
        <f>AVERAGE(AR!Y22,AR!Y43,AR!Y64,AR!Y85,AR!Y106,AR!Y127)</f>
        <v>1.0014279635311463</v>
      </c>
    </row>
    <row r="41" spans="1:6" x14ac:dyDescent="0.25">
      <c r="A41">
        <v>121434</v>
      </c>
      <c r="B41" t="s">
        <v>157</v>
      </c>
      <c r="C41" t="s">
        <v>7</v>
      </c>
      <c r="D41" t="s">
        <v>158</v>
      </c>
      <c r="E41">
        <f>AVERAGE(ANR!Y111,ANR!Y90,ANR!Y69,ANR!Y47,ANR!Y25,ANR!Y3)</f>
        <v>0.80644939711813268</v>
      </c>
    </row>
    <row r="42" spans="1:6" x14ac:dyDescent="0.25">
      <c r="A42">
        <v>121539</v>
      </c>
      <c r="B42" t="s">
        <v>159</v>
      </c>
      <c r="C42" t="s">
        <v>7</v>
      </c>
      <c r="D42" t="s">
        <v>158</v>
      </c>
      <c r="E42">
        <f>AVERAGE(ANR!Y112,ANR!Y91,ANR!Y70,ANR!Y48,ANR!Y26,ANR!Y4)</f>
        <v>1.4545291877093212</v>
      </c>
    </row>
    <row r="43" spans="1:6" x14ac:dyDescent="0.25">
      <c r="A43">
        <v>121743</v>
      </c>
      <c r="B43" t="s">
        <v>160</v>
      </c>
      <c r="C43" t="s">
        <v>7</v>
      </c>
      <c r="D43" t="s">
        <v>158</v>
      </c>
      <c r="E43">
        <f>AVERAGE(ANR!Y113,ANR!Y92,ANR!Y71,ANR!Y49,ANR!Y27,ANR!Y5)</f>
        <v>1.297938593342941</v>
      </c>
    </row>
    <row r="44" spans="1:6" x14ac:dyDescent="0.25">
      <c r="A44">
        <v>1211312</v>
      </c>
      <c r="B44" t="s">
        <v>161</v>
      </c>
      <c r="C44" t="s">
        <v>7</v>
      </c>
      <c r="D44" t="s">
        <v>158</v>
      </c>
      <c r="E44">
        <f>AVERAGE(ANR!Y114,ANR!Y93,ANR!Y72,ANR!Y50,ANR!Y28,ANR!Y6)</f>
        <v>1.2348361564130548</v>
      </c>
    </row>
    <row r="45" spans="1:6" x14ac:dyDescent="0.25">
      <c r="A45">
        <v>121179</v>
      </c>
      <c r="B45" t="s">
        <v>162</v>
      </c>
      <c r="C45" t="s">
        <v>7</v>
      </c>
      <c r="D45" t="s">
        <v>158</v>
      </c>
      <c r="E45">
        <f>AVERAGE(ANR!Y115,ANR!Y94,ANR!Y73,ANR!Y51,ANR!Y29,ANR!Y7)</f>
        <v>1.0301382001491413</v>
      </c>
    </row>
    <row r="46" spans="1:6" x14ac:dyDescent="0.25">
      <c r="A46">
        <v>121631</v>
      </c>
      <c r="B46" t="s">
        <v>163</v>
      </c>
      <c r="C46" t="s">
        <v>7</v>
      </c>
      <c r="D46" t="s">
        <v>158</v>
      </c>
      <c r="E46">
        <f>AVERAGE(ANR!Y116,ANR!Y95,ANR!Y74,ANR!Y52,ANR!Y30,ANR!Y8)</f>
        <v>1.2522760592755684</v>
      </c>
    </row>
    <row r="47" spans="1:6" x14ac:dyDescent="0.25">
      <c r="A47">
        <v>1211019</v>
      </c>
      <c r="B47" t="s">
        <v>164</v>
      </c>
      <c r="C47" t="s">
        <v>7</v>
      </c>
      <c r="D47" t="s">
        <v>158</v>
      </c>
      <c r="E47">
        <f>AVERAGE(ANR!Y117,ANR!Y96,ANR!Y75,ANR!Y31,ANR!Y9)</f>
        <v>1.0155131318602237</v>
      </c>
      <c r="F47" t="s">
        <v>165</v>
      </c>
    </row>
    <row r="48" spans="1:6" x14ac:dyDescent="0.25">
      <c r="A48">
        <v>1212018</v>
      </c>
      <c r="B48" t="s">
        <v>166</v>
      </c>
      <c r="C48" t="s">
        <v>7</v>
      </c>
      <c r="D48" t="s">
        <v>158</v>
      </c>
      <c r="E48">
        <f>AVERAGE(ANR!Y118,ANR!Y97,ANR!Y76,ANR!Y54,ANR!Y32,ANR!Y10)</f>
        <v>1.4318866534425176</v>
      </c>
    </row>
    <row r="49" spans="1:6" x14ac:dyDescent="0.25">
      <c r="A49">
        <v>121834</v>
      </c>
      <c r="B49" t="s">
        <v>167</v>
      </c>
      <c r="C49" t="s">
        <v>7</v>
      </c>
      <c r="D49" t="s">
        <v>158</v>
      </c>
      <c r="E49">
        <f>AVERAGE(ANR!Y11,ANR!Y33,ANR!Y55)</f>
        <v>1.2077456204769088</v>
      </c>
      <c r="F49" t="s">
        <v>168</v>
      </c>
    </row>
    <row r="50" spans="1:6" x14ac:dyDescent="0.25">
      <c r="A50">
        <v>1211029</v>
      </c>
      <c r="B50" t="s">
        <v>169</v>
      </c>
      <c r="C50" t="s">
        <v>7</v>
      </c>
      <c r="D50" t="s">
        <v>158</v>
      </c>
      <c r="E50">
        <f>AVERAGE(ANR!Y12,ANR!Y34,ANR!Y56,ANR!Y77,ANR!Y98,ANR!Y119)</f>
        <v>1.1667712743841159</v>
      </c>
    </row>
    <row r="51" spans="1:6" x14ac:dyDescent="0.25">
      <c r="A51">
        <v>1211144</v>
      </c>
      <c r="B51" t="s">
        <v>170</v>
      </c>
      <c r="C51" t="s">
        <v>7</v>
      </c>
      <c r="D51" t="s">
        <v>158</v>
      </c>
      <c r="E51">
        <f>AVERAGE(ANR!Y13,ANR!Y35,ANR!Y57,ANR!Y78,ANR!Y99,ANR!Y120)</f>
        <v>1.4159036299473462</v>
      </c>
    </row>
    <row r="52" spans="1:6" x14ac:dyDescent="0.25">
      <c r="A52">
        <v>121448</v>
      </c>
      <c r="B52" t="s">
        <v>171</v>
      </c>
      <c r="C52" t="s">
        <v>7</v>
      </c>
      <c r="D52" t="s">
        <v>158</v>
      </c>
      <c r="E52">
        <f>AVERAGE(ANR!Y14,ANR!Y36,ANR!Y58,ANR!Y79,ANR!Y100,ANR!Y121)</f>
        <v>1.3333827528734019</v>
      </c>
    </row>
    <row r="53" spans="1:6" x14ac:dyDescent="0.25">
      <c r="A53" t="s">
        <v>61</v>
      </c>
      <c r="B53" t="s">
        <v>172</v>
      </c>
      <c r="C53" t="s">
        <v>7</v>
      </c>
      <c r="D53" t="s">
        <v>158</v>
      </c>
      <c r="E53">
        <f>AVERAGE(ANR!Y15,ANR!Y37,ANR!Y59,ANR!Y80,ANR!Y101,ANR!Y122)</f>
        <v>1.3364322008866123</v>
      </c>
    </row>
    <row r="54" spans="1:6" x14ac:dyDescent="0.25">
      <c r="A54" t="s">
        <v>63</v>
      </c>
      <c r="B54" t="s">
        <v>173</v>
      </c>
      <c r="C54" t="s">
        <v>7</v>
      </c>
      <c r="D54" t="s">
        <v>158</v>
      </c>
      <c r="E54">
        <f>AVERAGE(ANR!Y16,ANR!Y38,ANR!Y60,ANR!Y81,ANR!Y102,ANR!Y123)</f>
        <v>1.3589600120096499</v>
      </c>
    </row>
    <row r="55" spans="1:6" x14ac:dyDescent="0.25">
      <c r="A55" t="s">
        <v>65</v>
      </c>
      <c r="B55" t="s">
        <v>174</v>
      </c>
      <c r="C55" t="s">
        <v>7</v>
      </c>
      <c r="D55" t="s">
        <v>158</v>
      </c>
      <c r="E55">
        <f>AVERAGE(ANR!Y17,ANR!Y39,ANR!Y61,ANR!Y82,ANR!Y103,ANR!Y124)</f>
        <v>1.3035026494283863</v>
      </c>
    </row>
    <row r="56" spans="1:6" x14ac:dyDescent="0.25">
      <c r="A56" t="s">
        <v>67</v>
      </c>
      <c r="B56" t="s">
        <v>175</v>
      </c>
      <c r="C56" t="s">
        <v>7</v>
      </c>
      <c r="D56" t="s">
        <v>158</v>
      </c>
      <c r="E56">
        <f>AVERAGE(ANR!Y18,ANR!Y40,ANR!Y62,ANR!Y83,ANR!Y104,ANR!Y125)</f>
        <v>0.96158359330569232</v>
      </c>
    </row>
    <row r="57" spans="1:6" x14ac:dyDescent="0.25">
      <c r="A57" t="s">
        <v>69</v>
      </c>
      <c r="B57" t="s">
        <v>176</v>
      </c>
      <c r="C57" t="s">
        <v>7</v>
      </c>
      <c r="D57" t="s">
        <v>158</v>
      </c>
      <c r="E57">
        <f>AVERAGE(ANR!Y19,ANR!Y41,ANR!Y63,ANR!Y84,ANR!Y105,ANR!Y126)</f>
        <v>1.4156845127921585</v>
      </c>
    </row>
    <row r="58" spans="1:6" x14ac:dyDescent="0.25">
      <c r="A58">
        <v>121422</v>
      </c>
      <c r="B58" t="s">
        <v>177</v>
      </c>
      <c r="C58" t="s">
        <v>7</v>
      </c>
      <c r="D58" t="s">
        <v>158</v>
      </c>
      <c r="E58">
        <f>AVERAGE(ANR!Y20,ANR!Y42,ANR!Y64,ANR!Y85,ANR!Y106,ANR!Y127)</f>
        <v>1.0237747592631585</v>
      </c>
    </row>
    <row r="59" spans="1:6" x14ac:dyDescent="0.25">
      <c r="A59">
        <v>121427</v>
      </c>
      <c r="B59" t="s">
        <v>178</v>
      </c>
      <c r="C59" t="s">
        <v>7</v>
      </c>
      <c r="D59" t="s">
        <v>158</v>
      </c>
      <c r="E59">
        <f>AVERAGE(ANR!Y21,ANR!Y43,ANR!Y65,ANR!Y86,ANR!Y107,ANR!Y128)</f>
        <v>1.4335395387515089</v>
      </c>
    </row>
    <row r="60" spans="1:6" x14ac:dyDescent="0.25">
      <c r="A60">
        <v>121138</v>
      </c>
      <c r="B60" t="s">
        <v>179</v>
      </c>
      <c r="C60" t="s">
        <v>7</v>
      </c>
      <c r="D60" t="s">
        <v>158</v>
      </c>
      <c r="E60">
        <f>AVERAGE(ANR!Y22,ANR!Y44,ANR!Y66,ANR!Y87,ANR!Y108,ANR!Y129)</f>
        <v>1.6040606790211454</v>
      </c>
    </row>
    <row r="61" spans="1:6" x14ac:dyDescent="0.25">
      <c r="A61">
        <v>121218</v>
      </c>
      <c r="B61" t="s">
        <v>180</v>
      </c>
      <c r="C61" t="s">
        <v>7</v>
      </c>
      <c r="D61" t="s">
        <v>158</v>
      </c>
      <c r="E61">
        <f>AVERAGE(ANR!Y23,ANR!Y45,ANR!Y67,ANR!Y88,ANR!Y109,ANR!Y130)</f>
        <v>1.3945414381083332</v>
      </c>
    </row>
    <row r="62" spans="1:6" x14ac:dyDescent="0.25">
      <c r="A62">
        <v>512237</v>
      </c>
      <c r="B62" t="s">
        <v>181</v>
      </c>
      <c r="C62" t="s">
        <v>75</v>
      </c>
      <c r="D62" t="s">
        <v>119</v>
      </c>
      <c r="E62">
        <f>AVERAGE(JM!Y3,JM!Y15,JM!Y27,JM!Y39,JM!Y50,JM!Y61)</f>
        <v>0.50046783846887077</v>
      </c>
    </row>
    <row r="63" spans="1:6" x14ac:dyDescent="0.25">
      <c r="A63">
        <v>512421</v>
      </c>
      <c r="B63" t="s">
        <v>182</v>
      </c>
      <c r="C63" t="s">
        <v>75</v>
      </c>
      <c r="D63" t="s">
        <v>119</v>
      </c>
      <c r="E63">
        <f>AVERAGE(JM!Y4,JM!Y16,JM!Y28,JM!Y40,JM!Y51,JM!Y62)</f>
        <v>0.43933389770266312</v>
      </c>
    </row>
    <row r="64" spans="1:6" x14ac:dyDescent="0.25">
      <c r="A64">
        <v>511552</v>
      </c>
      <c r="B64" t="s">
        <v>183</v>
      </c>
      <c r="C64" t="s">
        <v>75</v>
      </c>
      <c r="D64" t="s">
        <v>119</v>
      </c>
      <c r="E64">
        <f>AVERAGE(JM!Y5,JM!Y17,JM!Y29,JM!Y41,JM!Y52,JM!Y63)</f>
        <v>1.2912722236675889</v>
      </c>
    </row>
    <row r="65" spans="1:6" x14ac:dyDescent="0.25">
      <c r="A65">
        <v>511137</v>
      </c>
      <c r="B65" t="s">
        <v>184</v>
      </c>
      <c r="C65" t="s">
        <v>75</v>
      </c>
      <c r="D65" t="s">
        <v>119</v>
      </c>
      <c r="E65">
        <f>AVERAGE(JM!Y6,JM!Y18,JM!Y30,JM!Y42,JM!Y53,JM!Y64)</f>
        <v>0.48722435646647616</v>
      </c>
    </row>
    <row r="66" spans="1:6" x14ac:dyDescent="0.25">
      <c r="A66">
        <v>511940</v>
      </c>
      <c r="B66" t="s">
        <v>185</v>
      </c>
      <c r="C66" t="s">
        <v>75</v>
      </c>
      <c r="D66" t="s">
        <v>119</v>
      </c>
      <c r="E66">
        <f>AVERAGE(JM!Y7,JM!Y19,JM!Y31,JM!Y43,JM!Y54,JM!Y65)</f>
        <v>0.983814234582571</v>
      </c>
    </row>
    <row r="67" spans="1:6" x14ac:dyDescent="0.25">
      <c r="A67">
        <v>511720</v>
      </c>
      <c r="B67" t="s">
        <v>186</v>
      </c>
      <c r="C67" t="s">
        <v>75</v>
      </c>
      <c r="D67" t="s">
        <v>119</v>
      </c>
      <c r="E67">
        <f>AVERAGE(JM!Y8,JM!Y20,JM!Y32,JM!Y44,JM!Y55,JM!Y66)</f>
        <v>0.4952367954115009</v>
      </c>
    </row>
    <row r="68" spans="1:6" x14ac:dyDescent="0.25">
      <c r="A68">
        <v>512439</v>
      </c>
      <c r="B68" t="s">
        <v>187</v>
      </c>
      <c r="C68" t="s">
        <v>75</v>
      </c>
      <c r="D68" t="s">
        <v>119</v>
      </c>
      <c r="E68">
        <f>AVERAGE(JM!Y9,JM!Y21,JM!Y33,JM!Y45,JM!Y56,JM!Y67)</f>
        <v>0.5483511936256138</v>
      </c>
    </row>
    <row r="69" spans="1:6" x14ac:dyDescent="0.25">
      <c r="A69">
        <v>512142</v>
      </c>
      <c r="B69" t="s">
        <v>188</v>
      </c>
      <c r="C69" t="s">
        <v>75</v>
      </c>
      <c r="D69" t="s">
        <v>119</v>
      </c>
      <c r="E69">
        <f>AVERAGE(JM!Y10,JM!Y22,JM!Y34,JM!Y46,JM!Y57,JM!Y68)</f>
        <v>0.38293376219817116</v>
      </c>
    </row>
    <row r="70" spans="1:6" x14ac:dyDescent="0.25">
      <c r="A70">
        <v>511837</v>
      </c>
      <c r="B70" t="s">
        <v>189</v>
      </c>
      <c r="C70" t="s">
        <v>75</v>
      </c>
      <c r="D70" t="s">
        <v>119</v>
      </c>
      <c r="E70">
        <f>AVERAGE(JM!Y11,JM!Y23,JM!Y35)</f>
        <v>0.41350547272658372</v>
      </c>
      <c r="F70" t="s">
        <v>168</v>
      </c>
    </row>
    <row r="71" spans="1:6" x14ac:dyDescent="0.25">
      <c r="A71">
        <v>511628</v>
      </c>
      <c r="B71" t="s">
        <v>190</v>
      </c>
      <c r="C71" t="s">
        <v>75</v>
      </c>
      <c r="D71" t="s">
        <v>119</v>
      </c>
      <c r="E71">
        <f>AVERAGE(JM!Y12,JM!Y24,JM!Y36,JM!Y47,JM!Y58,JM!Y69)</f>
        <v>0.41388543300359792</v>
      </c>
    </row>
    <row r="72" spans="1:6" x14ac:dyDescent="0.25">
      <c r="A72">
        <v>511440</v>
      </c>
      <c r="B72" t="s">
        <v>191</v>
      </c>
      <c r="C72" t="s">
        <v>75</v>
      </c>
      <c r="D72" t="s">
        <v>119</v>
      </c>
      <c r="E72">
        <f>AVERAGE(JM!Y70,JM!Y59,JM!Y48,JM!Y37,JM!Y25,JM!Y13)</f>
        <v>0.58201876592042401</v>
      </c>
    </row>
    <row r="73" spans="1:6" x14ac:dyDescent="0.25">
      <c r="A73">
        <v>971437</v>
      </c>
      <c r="B73" t="s">
        <v>192</v>
      </c>
      <c r="C73" t="s">
        <v>75</v>
      </c>
      <c r="D73" t="s">
        <v>137</v>
      </c>
      <c r="E73">
        <f>AVERAGE(JR!Y73,JR!Y59,JR!Y45,JR!Y31,JR!Y17,JR!Y3)</f>
        <v>0.77191531023774784</v>
      </c>
    </row>
    <row r="74" spans="1:6" x14ac:dyDescent="0.25">
      <c r="A74">
        <v>971721</v>
      </c>
      <c r="B74" t="s">
        <v>193</v>
      </c>
      <c r="C74" t="s">
        <v>75</v>
      </c>
      <c r="D74" t="s">
        <v>137</v>
      </c>
      <c r="E74">
        <f>AVERAGE(JR!Y74,JR!Y60,JR!Y46,JR!Y32,JR!Y18,JR!Y4)</f>
        <v>0.77058582931984498</v>
      </c>
    </row>
    <row r="75" spans="1:6" x14ac:dyDescent="0.25">
      <c r="A75">
        <v>972329</v>
      </c>
      <c r="B75" t="s">
        <v>194</v>
      </c>
      <c r="C75" t="s">
        <v>75</v>
      </c>
      <c r="D75" t="s">
        <v>137</v>
      </c>
      <c r="E75">
        <f>AVERAGE(JR!Y75,JR!Y61,JR!Y47,JR!Y33,JR!Y19,JR!Y5)</f>
        <v>0.75125763415327551</v>
      </c>
    </row>
    <row r="76" spans="1:6" x14ac:dyDescent="0.25">
      <c r="A76">
        <v>971542</v>
      </c>
      <c r="B76" t="s">
        <v>195</v>
      </c>
      <c r="C76" t="s">
        <v>75</v>
      </c>
      <c r="D76" t="s">
        <v>137</v>
      </c>
      <c r="E76">
        <f>AVERAGE(JR!Y76,JR!Y62,JR!Y48,JR!Y34,JR!Y20,JR!Y6)</f>
        <v>0.51302303178892072</v>
      </c>
    </row>
    <row r="77" spans="1:6" x14ac:dyDescent="0.25">
      <c r="A77">
        <v>971453</v>
      </c>
      <c r="B77" t="s">
        <v>196</v>
      </c>
      <c r="C77" t="s">
        <v>75</v>
      </c>
      <c r="D77" t="s">
        <v>137</v>
      </c>
      <c r="E77">
        <f>AVERAGE(JR!Y77,JR!Y63,JR!Y49,JR!Y35,JR!Y21,JR!Y7)</f>
        <v>0.7243547712371402</v>
      </c>
    </row>
    <row r="78" spans="1:6" x14ac:dyDescent="0.25">
      <c r="A78">
        <v>971941</v>
      </c>
      <c r="B78" t="s">
        <v>197</v>
      </c>
      <c r="C78" t="s">
        <v>75</v>
      </c>
      <c r="D78" t="s">
        <v>137</v>
      </c>
      <c r="E78">
        <f>AVERAGE(JR!Y78,JR!Y64,JR!Y50,JR!Y36,JR!Y22,JR!Y8)</f>
        <v>1.0292811963762556</v>
      </c>
    </row>
    <row r="79" spans="1:6" x14ac:dyDescent="0.25">
      <c r="A79">
        <v>972135</v>
      </c>
      <c r="B79" t="s">
        <v>198</v>
      </c>
      <c r="C79" t="s">
        <v>75</v>
      </c>
      <c r="D79" t="s">
        <v>137</v>
      </c>
      <c r="E79">
        <f>AVERAGE(JR!Y79,JR!Y65,JR!Y51,JR!Y37,JR!Y23,JR!Y9)</f>
        <v>0.91463912373573508</v>
      </c>
    </row>
    <row r="80" spans="1:6" x14ac:dyDescent="0.25">
      <c r="A80">
        <v>971427</v>
      </c>
      <c r="B80" t="s">
        <v>199</v>
      </c>
      <c r="C80" t="s">
        <v>75</v>
      </c>
      <c r="D80" t="s">
        <v>137</v>
      </c>
      <c r="E80">
        <f>AVERAGE(JR!Y80,JR!Y66,JR!Y52,JR!Y38,JR!Y24,JR!Y10)</f>
        <v>0.60022452815076011</v>
      </c>
    </row>
    <row r="81" spans="1:6" x14ac:dyDescent="0.25">
      <c r="A81">
        <v>971826</v>
      </c>
      <c r="B81" t="s">
        <v>200</v>
      </c>
      <c r="C81" t="s">
        <v>75</v>
      </c>
      <c r="D81" t="s">
        <v>137</v>
      </c>
      <c r="E81">
        <f>AVERAGE(JR!Y81,JR!Y67,JR!Y53,JR!Y39,JR!Y25,JR!Y11)</f>
        <v>0.61043666583358047</v>
      </c>
    </row>
    <row r="82" spans="1:6" x14ac:dyDescent="0.25">
      <c r="A82">
        <v>972144</v>
      </c>
      <c r="B82" t="s">
        <v>201</v>
      </c>
      <c r="C82" t="s">
        <v>75</v>
      </c>
      <c r="D82" t="s">
        <v>137</v>
      </c>
      <c r="E82">
        <f>AVERAGE(JR!Y82,JR!Y68,JR!Y54,JR!Y40,JR!Y26,JR!Y12)</f>
        <v>0.64354744125258434</v>
      </c>
    </row>
    <row r="83" spans="1:6" x14ac:dyDescent="0.25">
      <c r="A83">
        <v>971930</v>
      </c>
      <c r="B83" t="s">
        <v>202</v>
      </c>
      <c r="C83" t="s">
        <v>75</v>
      </c>
      <c r="D83" t="s">
        <v>137</v>
      </c>
      <c r="E83">
        <f>AVERAGE(JR!Y83,JR!Y69,JR!Y55,JR!Y41,JR!Y27,JR!Y13)</f>
        <v>0.87083511117345402</v>
      </c>
    </row>
    <row r="84" spans="1:6" x14ac:dyDescent="0.25">
      <c r="A84">
        <v>972525</v>
      </c>
      <c r="B84" t="s">
        <v>203</v>
      </c>
      <c r="C84" t="s">
        <v>75</v>
      </c>
      <c r="D84" t="s">
        <v>137</v>
      </c>
      <c r="E84">
        <f>AVERAGE(JR!Y84,JR!Y70,JR!Y56,JR!Y42,JR!Y28,JR!Y14)</f>
        <v>0.8269161492033591</v>
      </c>
    </row>
    <row r="85" spans="1:6" x14ac:dyDescent="0.25">
      <c r="A85">
        <v>971747</v>
      </c>
      <c r="B85" t="s">
        <v>204</v>
      </c>
      <c r="C85" t="s">
        <v>75</v>
      </c>
      <c r="D85" t="s">
        <v>137</v>
      </c>
      <c r="E85">
        <f>AVERAGE(JR!Y85,JR!Y71,JR!Y57,JR!Y43,JR!Y29,JR!Y15)</f>
        <v>0.77815548475387253</v>
      </c>
    </row>
    <row r="86" spans="1:6" x14ac:dyDescent="0.25">
      <c r="A86">
        <v>1211715</v>
      </c>
      <c r="B86" t="s">
        <v>205</v>
      </c>
      <c r="C86" t="s">
        <v>75</v>
      </c>
      <c r="D86" t="s">
        <v>158</v>
      </c>
      <c r="E86">
        <f>AVERAGE(JNR!Y3,JNR!Y16)</f>
        <v>0.31774569663798335</v>
      </c>
      <c r="F86" t="s">
        <v>168</v>
      </c>
    </row>
    <row r="87" spans="1:6" x14ac:dyDescent="0.25">
      <c r="A87">
        <v>1212031</v>
      </c>
      <c r="B87" t="s">
        <v>206</v>
      </c>
      <c r="C87" t="s">
        <v>75</v>
      </c>
      <c r="D87" t="s">
        <v>158</v>
      </c>
      <c r="E87">
        <f>AVERAGE(JNR!Y4,JNR!Y17,JNR!Y29,JNR!Y41,JNR!Y53)</f>
        <v>0.28869655969742325</v>
      </c>
    </row>
    <row r="88" spans="1:6" x14ac:dyDescent="0.25">
      <c r="A88">
        <v>1211425</v>
      </c>
      <c r="B88" t="s">
        <v>207</v>
      </c>
      <c r="C88" t="s">
        <v>75</v>
      </c>
      <c r="D88" t="s">
        <v>158</v>
      </c>
      <c r="E88">
        <f>AVERAGE(JNR!Y5,JNR!Y18,JNR!Y30,JNR!Y42,JNR!Y54)</f>
        <v>0.43437100689680042</v>
      </c>
    </row>
    <row r="89" spans="1:6" x14ac:dyDescent="0.25">
      <c r="A89">
        <v>1212521</v>
      </c>
      <c r="B89" t="s">
        <v>208</v>
      </c>
      <c r="C89" t="s">
        <v>75</v>
      </c>
      <c r="D89" t="s">
        <v>158</v>
      </c>
      <c r="E89">
        <f>AVERAGE(JNR!Y6,JNR!Y19,JNR!Y31,JNR!Y43,JNR!Y55)</f>
        <v>0.46714409772909277</v>
      </c>
    </row>
    <row r="90" spans="1:6" x14ac:dyDescent="0.25">
      <c r="A90">
        <v>1211828</v>
      </c>
      <c r="B90" t="s">
        <v>209</v>
      </c>
      <c r="C90" t="s">
        <v>75</v>
      </c>
      <c r="D90" t="s">
        <v>158</v>
      </c>
      <c r="E90">
        <f>AVERAGE(JNR!Y7,JNR!Y20,JNR!Y32,JNR!Y44,JNR!Y56)</f>
        <v>0.4456411705025996</v>
      </c>
    </row>
    <row r="91" spans="1:6" x14ac:dyDescent="0.25">
      <c r="A91">
        <v>1211530</v>
      </c>
      <c r="B91" t="s">
        <v>210</v>
      </c>
      <c r="C91" t="s">
        <v>75</v>
      </c>
      <c r="D91" t="s">
        <v>158</v>
      </c>
      <c r="E91">
        <f>AVERAGE(JNR!Y8,JNR!Y21,JNR!Y33,JNR!Y45,JNR!Y57)</f>
        <v>0.5215319834815112</v>
      </c>
    </row>
    <row r="92" spans="1:6" x14ac:dyDescent="0.25">
      <c r="A92">
        <v>1212232</v>
      </c>
      <c r="B92" t="s">
        <v>211</v>
      </c>
      <c r="C92" t="s">
        <v>75</v>
      </c>
      <c r="D92" t="s">
        <v>158</v>
      </c>
      <c r="E92">
        <f>AVERAGE(JNR!Y9,JNR!Y22,JNR!Y34,JNR!Y46,JNR!Y58)</f>
        <v>0.52683807232354651</v>
      </c>
    </row>
    <row r="93" spans="1:6" x14ac:dyDescent="0.25">
      <c r="A93">
        <v>1211922</v>
      </c>
      <c r="B93" t="s">
        <v>212</v>
      </c>
      <c r="C93" t="s">
        <v>75</v>
      </c>
      <c r="D93" t="s">
        <v>158</v>
      </c>
      <c r="E93">
        <f>AVERAGE(JNR!Y10,JNR!Y23,JNR!Y35,JNR!Y47,JNR!Y59)</f>
        <v>0.50077791184009013</v>
      </c>
    </row>
    <row r="94" spans="1:6" x14ac:dyDescent="0.25">
      <c r="A94">
        <v>1211835</v>
      </c>
      <c r="B94" t="s">
        <v>213</v>
      </c>
      <c r="C94" t="s">
        <v>75</v>
      </c>
      <c r="D94" t="s">
        <v>158</v>
      </c>
      <c r="E94">
        <f>AVERAGE(JNR!Y11,JNR!Y24,JNR!Y36,JNR!Y48,JNR!Y60)</f>
        <v>0.71580813588267234</v>
      </c>
    </row>
    <row r="95" spans="1:6" x14ac:dyDescent="0.25">
      <c r="A95">
        <v>1212427</v>
      </c>
      <c r="B95" t="s">
        <v>214</v>
      </c>
      <c r="C95" t="s">
        <v>75</v>
      </c>
      <c r="D95" t="s">
        <v>158</v>
      </c>
      <c r="E95">
        <f>AVERAGE(JNR!Y12,JNR!Y25,JNR!Y37,JNR!Y49,JNR!Y61)</f>
        <v>0.47521243947547231</v>
      </c>
    </row>
    <row r="96" spans="1:6" x14ac:dyDescent="0.25">
      <c r="A96">
        <v>1211339</v>
      </c>
      <c r="B96" t="s">
        <v>215</v>
      </c>
      <c r="C96" t="s">
        <v>75</v>
      </c>
      <c r="D96" t="s">
        <v>158</v>
      </c>
      <c r="E96">
        <f>AVERAGE(JNR!Y13,JNR!Y26,JNR!Y38,JNR!Y50,JNR!Y62)</f>
        <v>0.60163446279078114</v>
      </c>
    </row>
    <row r="97" spans="1:5" x14ac:dyDescent="0.25">
      <c r="A97">
        <v>1211650</v>
      </c>
      <c r="B97" t="s">
        <v>216</v>
      </c>
      <c r="C97" t="s">
        <v>75</v>
      </c>
      <c r="D97" t="s">
        <v>158</v>
      </c>
      <c r="E97">
        <f>AVERAGE(JNR!Y14,JNR!Y27,JNR!Y39,JNR!Y51,JNR!Y63)</f>
        <v>0.76206238071331145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52BE9-CC72-47F8-8ABA-30D6CC35D3EC}">
  <dimension ref="A1:X118"/>
  <sheetViews>
    <sheetView topLeftCell="A95" workbookViewId="0">
      <selection activeCell="S1" sqref="S1:X2"/>
    </sheetView>
  </sheetViews>
  <sheetFormatPr defaultRowHeight="15" x14ac:dyDescent="0.25"/>
  <cols>
    <col min="15" max="15" width="10.85546875" customWidth="1"/>
    <col min="16" max="16" width="17.7109375" customWidth="1"/>
    <col min="17" max="17" width="16" customWidth="1"/>
    <col min="20" max="20" width="10" customWidth="1"/>
    <col min="21" max="21" width="16.5703125" customWidth="1"/>
    <col min="22" max="22" width="19" customWidth="1"/>
    <col min="23" max="23" width="21" customWidth="1"/>
    <col min="24" max="24" width="22.28515625" customWidth="1"/>
  </cols>
  <sheetData>
    <row r="1" spans="1:24" x14ac:dyDescent="0.25">
      <c r="A1">
        <v>1</v>
      </c>
      <c r="O1" s="96" t="s">
        <v>217</v>
      </c>
      <c r="P1" s="96"/>
      <c r="Q1" s="96"/>
      <c r="T1" s="96" t="s">
        <v>218</v>
      </c>
      <c r="U1" s="96"/>
      <c r="V1" s="96"/>
      <c r="W1" s="96"/>
    </row>
    <row r="2" spans="1:24" x14ac:dyDescent="0.25">
      <c r="A2" s="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>
        <v>1</v>
      </c>
      <c r="P2" t="s">
        <v>219</v>
      </c>
      <c r="Q2" t="s">
        <v>220</v>
      </c>
      <c r="S2">
        <v>1</v>
      </c>
      <c r="T2" t="s">
        <v>0</v>
      </c>
      <c r="U2" t="s">
        <v>221</v>
      </c>
      <c r="V2" t="s">
        <v>222</v>
      </c>
      <c r="W2" t="s">
        <v>223</v>
      </c>
      <c r="X2" t="s">
        <v>224</v>
      </c>
    </row>
    <row r="3" spans="1:24" x14ac:dyDescent="0.25">
      <c r="A3" s="2" t="s">
        <v>118</v>
      </c>
      <c r="B3" s="3">
        <v>0.39100000000000001</v>
      </c>
      <c r="C3" s="3">
        <v>0.36399999999999999</v>
      </c>
      <c r="D3" s="4"/>
      <c r="E3" s="5">
        <v>0.72399999999999998</v>
      </c>
      <c r="F3" s="5">
        <v>0.70099999999999996</v>
      </c>
      <c r="G3" s="6">
        <v>0.61099999999999999</v>
      </c>
      <c r="H3" s="7">
        <v>0.53700000000000003</v>
      </c>
      <c r="I3" s="5">
        <v>0.71599999999999997</v>
      </c>
      <c r="J3" s="6">
        <v>0.61299999999999999</v>
      </c>
      <c r="K3" s="6">
        <v>0.65100000000000002</v>
      </c>
      <c r="L3" s="5">
        <v>0.68100000000000005</v>
      </c>
      <c r="M3" s="8">
        <v>0.77200000000000002</v>
      </c>
      <c r="O3">
        <v>0</v>
      </c>
      <c r="P3">
        <f>AVERAGE(B3:C3)</f>
        <v>0.3775</v>
      </c>
      <c r="Q3">
        <f>P3-P$3</f>
        <v>0</v>
      </c>
      <c r="T3" t="s">
        <v>118</v>
      </c>
      <c r="U3" s="5">
        <v>0.72399999999999998</v>
      </c>
      <c r="V3">
        <f>U3-P$3</f>
        <v>0.34649999999999997</v>
      </c>
      <c r="W3">
        <f>(V3+0.0125)/1.9946</f>
        <v>0.17998596209766368</v>
      </c>
      <c r="X3">
        <f>W3*7</f>
        <v>1.2599017346836459</v>
      </c>
    </row>
    <row r="4" spans="1:24" x14ac:dyDescent="0.25">
      <c r="A4" s="2" t="s">
        <v>120</v>
      </c>
      <c r="B4" s="3">
        <v>0.437</v>
      </c>
      <c r="C4" s="9">
        <v>0.48099999999999998</v>
      </c>
      <c r="D4" s="4"/>
      <c r="E4" s="4"/>
      <c r="F4" s="4"/>
      <c r="G4" s="4"/>
      <c r="H4" s="4"/>
      <c r="I4" s="4"/>
      <c r="J4" s="4"/>
      <c r="K4" s="4"/>
      <c r="L4" s="4"/>
      <c r="M4" s="4"/>
      <c r="O4">
        <v>0.05</v>
      </c>
      <c r="P4">
        <f>AVERAGE(B4:C4)</f>
        <v>0.45899999999999996</v>
      </c>
      <c r="Q4">
        <f t="shared" ref="Q4:Q7" si="0">P4-P$3</f>
        <v>8.1499999999999961E-2</v>
      </c>
      <c r="T4" t="s">
        <v>120</v>
      </c>
      <c r="U4" s="5">
        <v>0.70099999999999996</v>
      </c>
      <c r="V4">
        <f t="shared" ref="V4:V21" si="1">U4-P$3</f>
        <v>0.32349999999999995</v>
      </c>
      <c r="W4">
        <f t="shared" ref="W4:W21" si="2">(V4+0.0125)/1.9946</f>
        <v>0.16845482803569636</v>
      </c>
      <c r="X4">
        <f t="shared" ref="X4:X21" si="3">W4*7</f>
        <v>1.1791837962498746</v>
      </c>
    </row>
    <row r="5" spans="1:24" x14ac:dyDescent="0.25">
      <c r="A5" s="2" t="s">
        <v>76</v>
      </c>
      <c r="B5" s="4"/>
      <c r="C5" s="4"/>
      <c r="D5" s="4"/>
      <c r="E5" s="10">
        <v>0.98899999999999999</v>
      </c>
      <c r="F5" s="6">
        <v>0.65900000000000003</v>
      </c>
      <c r="G5" s="6">
        <v>0.59</v>
      </c>
      <c r="H5" s="7">
        <v>0.56200000000000006</v>
      </c>
      <c r="I5" s="8">
        <v>0.78400000000000003</v>
      </c>
      <c r="J5" s="6">
        <v>0.64700000000000002</v>
      </c>
      <c r="K5" s="8">
        <v>0.77600000000000002</v>
      </c>
      <c r="L5" s="7">
        <v>0.58199999999999996</v>
      </c>
      <c r="M5" s="8">
        <v>0.78100000000000003</v>
      </c>
      <c r="O5">
        <v>0.1</v>
      </c>
      <c r="P5">
        <f>AVERAGE(B6:C6)</f>
        <v>0.60899999999999999</v>
      </c>
      <c r="Q5">
        <f t="shared" si="0"/>
        <v>0.23149999999999998</v>
      </c>
      <c r="T5" t="s">
        <v>76</v>
      </c>
      <c r="U5" s="6">
        <v>0.61099999999999999</v>
      </c>
      <c r="V5">
        <f t="shared" si="1"/>
        <v>0.23349999999999999</v>
      </c>
      <c r="W5">
        <f t="shared" si="2"/>
        <v>0.12333299909756343</v>
      </c>
      <c r="X5">
        <f t="shared" si="3"/>
        <v>0.86333099368294397</v>
      </c>
    </row>
    <row r="6" spans="1:24" x14ac:dyDescent="0.25">
      <c r="A6" s="2" t="s">
        <v>121</v>
      </c>
      <c r="B6" s="7">
        <v>0.57199999999999995</v>
      </c>
      <c r="C6" s="6">
        <v>0.64600000000000002</v>
      </c>
      <c r="D6" s="4"/>
      <c r="E6" s="4"/>
      <c r="F6" s="4"/>
      <c r="G6" s="4"/>
      <c r="H6" s="4"/>
      <c r="I6" s="4"/>
      <c r="J6" s="4"/>
      <c r="K6" s="4"/>
      <c r="L6" s="4"/>
      <c r="M6" s="4"/>
      <c r="O6">
        <v>0.25</v>
      </c>
      <c r="P6">
        <f>AVERAGE(B8:C8)</f>
        <v>0.77750000000000008</v>
      </c>
      <c r="Q6">
        <f t="shared" si="0"/>
        <v>0.40000000000000008</v>
      </c>
      <c r="T6" t="s">
        <v>121</v>
      </c>
      <c r="U6" s="7">
        <v>0.53700000000000003</v>
      </c>
      <c r="V6">
        <f t="shared" si="1"/>
        <v>0.15950000000000003</v>
      </c>
      <c r="W6">
        <f t="shared" si="2"/>
        <v>8.6232828637320791E-2</v>
      </c>
      <c r="X6">
        <f t="shared" si="3"/>
        <v>0.60362980046124548</v>
      </c>
    </row>
    <row r="7" spans="1:24" x14ac:dyDescent="0.25">
      <c r="A7" s="2" t="s">
        <v>122</v>
      </c>
      <c r="B7" s="4"/>
      <c r="C7" s="4"/>
      <c r="D7" s="4"/>
      <c r="E7" s="7">
        <v>0.58599999999999997</v>
      </c>
      <c r="F7" s="4"/>
      <c r="G7" s="4"/>
      <c r="H7" s="4"/>
      <c r="I7" s="4"/>
      <c r="J7" s="4"/>
      <c r="K7" s="4"/>
      <c r="L7" s="4"/>
      <c r="M7" s="4"/>
      <c r="O7">
        <v>0.5</v>
      </c>
      <c r="P7">
        <f>AVERAGE(B10:C10)</f>
        <v>1.3969999999999998</v>
      </c>
      <c r="Q7">
        <f t="shared" si="0"/>
        <v>1.0194999999999999</v>
      </c>
      <c r="T7" t="s">
        <v>122</v>
      </c>
      <c r="U7" s="5">
        <v>0.71599999999999997</v>
      </c>
      <c r="V7">
        <f t="shared" si="1"/>
        <v>0.33849999999999997</v>
      </c>
      <c r="W7">
        <f t="shared" si="2"/>
        <v>0.17597513285871855</v>
      </c>
      <c r="X7">
        <f t="shared" si="3"/>
        <v>1.2318259300110299</v>
      </c>
    </row>
    <row r="8" spans="1:24" x14ac:dyDescent="0.25">
      <c r="A8" s="2" t="s">
        <v>123</v>
      </c>
      <c r="B8" s="8">
        <v>0.78700000000000003</v>
      </c>
      <c r="C8" s="8">
        <v>0.76800000000000002</v>
      </c>
      <c r="D8" s="4"/>
      <c r="E8" s="4"/>
      <c r="F8" s="4"/>
      <c r="G8" s="4"/>
      <c r="H8" s="4"/>
      <c r="I8" s="4"/>
      <c r="J8" s="4"/>
      <c r="K8" s="4"/>
      <c r="L8" s="4"/>
      <c r="M8" s="4"/>
      <c r="N8">
        <v>2</v>
      </c>
      <c r="T8" t="s">
        <v>123</v>
      </c>
      <c r="U8" s="6">
        <v>0.61299999999999999</v>
      </c>
      <c r="V8">
        <f t="shared" si="1"/>
        <v>0.23549999999999999</v>
      </c>
      <c r="W8">
        <f t="shared" si="2"/>
        <v>0.12433570640729971</v>
      </c>
      <c r="X8">
        <f t="shared" si="3"/>
        <v>0.87034994485109796</v>
      </c>
    </row>
    <row r="9" spans="1:24" x14ac:dyDescent="0.25">
      <c r="A9" s="2" t="s">
        <v>124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O9">
        <v>0</v>
      </c>
      <c r="P9">
        <f>AVERAGE(B13:C13)</f>
        <v>0.38200000000000001</v>
      </c>
      <c r="Q9">
        <f>P9-P$9</f>
        <v>0</v>
      </c>
      <c r="T9" t="s">
        <v>124</v>
      </c>
      <c r="U9" s="6">
        <v>0.65100000000000002</v>
      </c>
      <c r="V9">
        <f t="shared" si="1"/>
        <v>0.27350000000000002</v>
      </c>
      <c r="W9">
        <f t="shared" si="2"/>
        <v>0.14338714529228921</v>
      </c>
      <c r="X9">
        <f t="shared" si="3"/>
        <v>1.0037100170460245</v>
      </c>
    </row>
    <row r="10" spans="1:24" x14ac:dyDescent="0.25">
      <c r="A10" s="2" t="s">
        <v>125</v>
      </c>
      <c r="B10" s="11">
        <v>1.4019999999999999</v>
      </c>
      <c r="C10" s="11">
        <v>1.3919999999999999</v>
      </c>
      <c r="D10" s="4"/>
      <c r="E10" s="4"/>
      <c r="F10" s="4"/>
      <c r="G10" s="4"/>
      <c r="H10" s="4"/>
      <c r="I10" s="4"/>
      <c r="J10" s="4"/>
      <c r="K10" s="4"/>
      <c r="L10" s="4"/>
      <c r="M10" s="4"/>
      <c r="O10">
        <v>0.05</v>
      </c>
      <c r="P10">
        <f>AVERAGE(B14:C14)</f>
        <v>0.48749999999999999</v>
      </c>
      <c r="Q10">
        <f t="shared" ref="Q10:Q13" si="4">P10-P$9</f>
        <v>0.10549999999999998</v>
      </c>
      <c r="T10" t="s">
        <v>125</v>
      </c>
      <c r="U10" s="5">
        <v>0.68100000000000005</v>
      </c>
      <c r="V10">
        <f t="shared" si="1"/>
        <v>0.30350000000000005</v>
      </c>
      <c r="W10">
        <f t="shared" si="2"/>
        <v>0.15842775493833353</v>
      </c>
      <c r="X10">
        <f t="shared" si="3"/>
        <v>1.1089942845683347</v>
      </c>
    </row>
    <row r="11" spans="1:24" x14ac:dyDescent="0.25">
      <c r="A11">
        <v>2</v>
      </c>
      <c r="O11">
        <v>0.1</v>
      </c>
      <c r="P11">
        <f>AVERAGE(B16:C16)</f>
        <v>0.62</v>
      </c>
      <c r="Q11">
        <f t="shared" si="4"/>
        <v>0.23799999999999999</v>
      </c>
      <c r="T11" t="s">
        <v>126</v>
      </c>
      <c r="U11" s="8">
        <v>0.77200000000000002</v>
      </c>
      <c r="V11">
        <f t="shared" si="1"/>
        <v>0.39450000000000002</v>
      </c>
      <c r="W11">
        <f t="shared" si="2"/>
        <v>0.20405093753133463</v>
      </c>
      <c r="X11">
        <f t="shared" si="3"/>
        <v>1.4283565627193424</v>
      </c>
    </row>
    <row r="12" spans="1:24" x14ac:dyDescent="0.25">
      <c r="A12" s="12"/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O12">
        <v>0.25</v>
      </c>
      <c r="P12">
        <f>AVERAGE(B18:C18)</f>
        <v>0.76600000000000001</v>
      </c>
      <c r="Q12">
        <f t="shared" si="4"/>
        <v>0.38400000000000001</v>
      </c>
      <c r="T12" t="s">
        <v>127</v>
      </c>
      <c r="U12" s="10">
        <v>0.98899999999999999</v>
      </c>
      <c r="V12">
        <f t="shared" si="1"/>
        <v>0.61149999999999993</v>
      </c>
      <c r="W12">
        <f t="shared" si="2"/>
        <v>0.31284468063772181</v>
      </c>
      <c r="X12">
        <f t="shared" si="3"/>
        <v>2.1899127644640526</v>
      </c>
    </row>
    <row r="13" spans="1:24" x14ac:dyDescent="0.25">
      <c r="A13" s="2" t="s">
        <v>118</v>
      </c>
      <c r="B13" s="3">
        <v>0.38100000000000001</v>
      </c>
      <c r="C13" s="3">
        <v>0.38300000000000001</v>
      </c>
      <c r="D13" s="4"/>
      <c r="E13" s="8">
        <v>0.79900000000000004</v>
      </c>
      <c r="F13" s="6">
        <v>0.65500000000000003</v>
      </c>
      <c r="G13" s="6">
        <v>0.61</v>
      </c>
      <c r="H13" s="9">
        <v>0.49399999999999999</v>
      </c>
      <c r="I13" s="5">
        <v>0.68600000000000005</v>
      </c>
      <c r="J13" s="7">
        <v>0.53200000000000003</v>
      </c>
      <c r="K13" s="13">
        <v>0.84199999999999997</v>
      </c>
      <c r="L13" s="6">
        <v>0.60199999999999998</v>
      </c>
      <c r="M13" s="8">
        <v>0.753</v>
      </c>
      <c r="O13">
        <v>0.5</v>
      </c>
      <c r="P13">
        <f>AVERAGE(B20:C20)</f>
        <v>1.363</v>
      </c>
      <c r="Q13">
        <f t="shared" si="4"/>
        <v>0.98099999999999998</v>
      </c>
      <c r="T13" t="s">
        <v>128</v>
      </c>
      <c r="U13" s="6">
        <v>0.65900000000000003</v>
      </c>
      <c r="V13">
        <f t="shared" si="1"/>
        <v>0.28150000000000003</v>
      </c>
      <c r="W13">
        <f t="shared" si="2"/>
        <v>0.14739797453123435</v>
      </c>
      <c r="X13">
        <f t="shared" si="3"/>
        <v>1.0317858217186404</v>
      </c>
    </row>
    <row r="14" spans="1:24" x14ac:dyDescent="0.25">
      <c r="A14" s="2" t="s">
        <v>120</v>
      </c>
      <c r="B14" s="9">
        <v>0.48799999999999999</v>
      </c>
      <c r="C14" s="9">
        <v>0.48699999999999999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>
        <v>3</v>
      </c>
      <c r="T14" t="s">
        <v>129</v>
      </c>
      <c r="U14" s="6">
        <v>0.59</v>
      </c>
      <c r="V14">
        <f t="shared" si="1"/>
        <v>0.21249999999999997</v>
      </c>
      <c r="W14">
        <f t="shared" si="2"/>
        <v>0.11280457234533239</v>
      </c>
      <c r="X14">
        <f t="shared" si="3"/>
        <v>0.78963200641732678</v>
      </c>
    </row>
    <row r="15" spans="1:24" x14ac:dyDescent="0.25">
      <c r="A15" s="2" t="s">
        <v>76</v>
      </c>
      <c r="B15" s="4"/>
      <c r="C15" s="4"/>
      <c r="D15" s="4"/>
      <c r="E15" s="10">
        <v>1</v>
      </c>
      <c r="F15" s="5">
        <v>0.67800000000000005</v>
      </c>
      <c r="G15" s="6">
        <v>0.60299999999999998</v>
      </c>
      <c r="H15" s="7">
        <v>0.54600000000000004</v>
      </c>
      <c r="I15" s="10">
        <v>1.0109999999999999</v>
      </c>
      <c r="J15" s="8">
        <v>0.77900000000000003</v>
      </c>
      <c r="K15" s="10">
        <v>1.0009999999999999</v>
      </c>
      <c r="L15" s="6">
        <v>0.60399999999999998</v>
      </c>
      <c r="M15" s="5">
        <v>0.72399999999999998</v>
      </c>
      <c r="O15">
        <v>0</v>
      </c>
      <c r="P15">
        <f>AVERAGE(B23:C23)</f>
        <v>0.40149999999999997</v>
      </c>
      <c r="Q15">
        <f>P15-P$15</f>
        <v>0</v>
      </c>
      <c r="T15" t="s">
        <v>130</v>
      </c>
      <c r="U15" s="7">
        <v>0.56200000000000006</v>
      </c>
      <c r="V15">
        <f t="shared" si="1"/>
        <v>0.18450000000000005</v>
      </c>
      <c r="W15">
        <f t="shared" si="2"/>
        <v>9.8766670009024407E-2</v>
      </c>
      <c r="X15">
        <f t="shared" si="3"/>
        <v>0.69136669006317086</v>
      </c>
    </row>
    <row r="16" spans="1:24" x14ac:dyDescent="0.25">
      <c r="A16" s="2" t="s">
        <v>121</v>
      </c>
      <c r="B16" s="6">
        <v>0.61099999999999999</v>
      </c>
      <c r="C16" s="6">
        <v>0.629</v>
      </c>
      <c r="D16" s="4"/>
      <c r="E16" s="4"/>
      <c r="F16" s="4"/>
      <c r="G16" s="4"/>
      <c r="H16" s="4"/>
      <c r="I16" s="4"/>
      <c r="J16" s="4"/>
      <c r="K16" s="4"/>
      <c r="L16" s="4"/>
      <c r="M16" s="4"/>
      <c r="O16">
        <v>0.05</v>
      </c>
      <c r="P16">
        <f>AVERAGE(B24:C24)</f>
        <v>0.48199999999999998</v>
      </c>
      <c r="Q16">
        <f t="shared" ref="Q16:Q19" si="5">P16-P$15</f>
        <v>8.0500000000000016E-2</v>
      </c>
      <c r="T16" t="s">
        <v>131</v>
      </c>
      <c r="U16" s="8">
        <v>0.78400000000000003</v>
      </c>
      <c r="V16">
        <f t="shared" si="1"/>
        <v>0.40650000000000003</v>
      </c>
      <c r="W16">
        <f t="shared" si="2"/>
        <v>0.21006718138975236</v>
      </c>
      <c r="X16">
        <f t="shared" si="3"/>
        <v>1.4704702697282666</v>
      </c>
    </row>
    <row r="17" spans="1:24" x14ac:dyDescent="0.25">
      <c r="A17" s="2" t="s">
        <v>122</v>
      </c>
      <c r="B17" s="4"/>
      <c r="C17" s="4"/>
      <c r="D17" s="4"/>
      <c r="E17" s="6">
        <v>0.627</v>
      </c>
      <c r="F17" s="4"/>
      <c r="G17" s="4"/>
      <c r="H17" s="4"/>
      <c r="I17" s="4"/>
      <c r="J17" s="4"/>
      <c r="K17" s="4"/>
      <c r="L17" s="4"/>
      <c r="M17" s="4"/>
      <c r="O17">
        <v>0.1</v>
      </c>
      <c r="P17">
        <f>AVERAGE(B26:C26)</f>
        <v>0.59149999999999991</v>
      </c>
      <c r="Q17">
        <f t="shared" si="5"/>
        <v>0.18999999999999995</v>
      </c>
      <c r="T17" t="s">
        <v>132</v>
      </c>
      <c r="U17" s="6">
        <v>0.64700000000000002</v>
      </c>
      <c r="V17">
        <f t="shared" si="1"/>
        <v>0.26950000000000002</v>
      </c>
      <c r="W17">
        <f t="shared" si="2"/>
        <v>0.14138173067281662</v>
      </c>
      <c r="X17">
        <f t="shared" si="3"/>
        <v>0.98967211470971628</v>
      </c>
    </row>
    <row r="18" spans="1:24" x14ac:dyDescent="0.25">
      <c r="A18" s="2" t="s">
        <v>123</v>
      </c>
      <c r="B18" s="5">
        <v>0.73799999999999999</v>
      </c>
      <c r="C18" s="8">
        <v>0.79400000000000004</v>
      </c>
      <c r="D18" s="4"/>
      <c r="E18" s="4"/>
      <c r="F18" s="4"/>
      <c r="G18" s="4"/>
      <c r="H18" s="4"/>
      <c r="I18" s="4"/>
      <c r="J18" s="4"/>
      <c r="K18" s="4"/>
      <c r="L18" s="4"/>
      <c r="M18" s="4"/>
      <c r="O18">
        <v>0.25</v>
      </c>
      <c r="P18">
        <f>AVERAGE(B28:C28)</f>
        <v>0.80249999999999999</v>
      </c>
      <c r="Q18">
        <f t="shared" si="5"/>
        <v>0.40100000000000002</v>
      </c>
      <c r="T18" t="s">
        <v>9</v>
      </c>
      <c r="U18" s="8">
        <v>0.77600000000000002</v>
      </c>
      <c r="V18">
        <f t="shared" si="1"/>
        <v>0.39850000000000002</v>
      </c>
      <c r="W18">
        <f t="shared" si="2"/>
        <v>0.2060563521508072</v>
      </c>
      <c r="X18">
        <f t="shared" si="3"/>
        <v>1.4423944650556504</v>
      </c>
    </row>
    <row r="19" spans="1:24" x14ac:dyDescent="0.25">
      <c r="A19" s="2" t="s">
        <v>124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O19">
        <v>0.5</v>
      </c>
      <c r="P19">
        <f>AVERAGE(B30:C30)</f>
        <v>1.446</v>
      </c>
      <c r="Q19">
        <f t="shared" si="5"/>
        <v>1.0445</v>
      </c>
      <c r="T19" t="s">
        <v>133</v>
      </c>
      <c r="U19" s="7">
        <v>0.58199999999999996</v>
      </c>
      <c r="V19">
        <f t="shared" si="1"/>
        <v>0.20449999999999996</v>
      </c>
      <c r="W19">
        <f t="shared" si="2"/>
        <v>0.10879374310638723</v>
      </c>
      <c r="X19">
        <f t="shared" si="3"/>
        <v>0.76155620174471061</v>
      </c>
    </row>
    <row r="20" spans="1:24" x14ac:dyDescent="0.25">
      <c r="A20" s="2" t="s">
        <v>125</v>
      </c>
      <c r="B20" s="11">
        <v>1.337</v>
      </c>
      <c r="C20" s="11">
        <v>1.389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>
        <v>4</v>
      </c>
      <c r="T20" t="s">
        <v>134</v>
      </c>
      <c r="U20" s="8">
        <v>0.78100000000000003</v>
      </c>
      <c r="V20">
        <f t="shared" si="1"/>
        <v>0.40350000000000003</v>
      </c>
      <c r="W20">
        <f t="shared" si="2"/>
        <v>0.20856312042514794</v>
      </c>
      <c r="X20">
        <f t="shared" si="3"/>
        <v>1.4599418429760356</v>
      </c>
    </row>
    <row r="21" spans="1:24" x14ac:dyDescent="0.25">
      <c r="A21">
        <v>3</v>
      </c>
      <c r="O21">
        <v>0</v>
      </c>
      <c r="P21">
        <f>AVERAGE(B33:C33)</f>
        <v>0.35949999999999999</v>
      </c>
      <c r="Q21">
        <f>P21-P$21</f>
        <v>0</v>
      </c>
      <c r="T21" t="s">
        <v>135</v>
      </c>
      <c r="U21" s="7">
        <v>0.58599999999999997</v>
      </c>
      <c r="V21">
        <f t="shared" si="1"/>
        <v>0.20849999999999996</v>
      </c>
      <c r="W21">
        <f t="shared" si="2"/>
        <v>0.11079915772585981</v>
      </c>
      <c r="X21">
        <f t="shared" si="3"/>
        <v>0.7755941040810187</v>
      </c>
    </row>
    <row r="22" spans="1:24" x14ac:dyDescent="0.25">
      <c r="A22" s="1"/>
      <c r="B22" s="2">
        <v>1</v>
      </c>
      <c r="C22" s="2">
        <v>2</v>
      </c>
      <c r="D22" s="2">
        <v>3</v>
      </c>
      <c r="E22" s="2">
        <v>4</v>
      </c>
      <c r="F22" s="2">
        <v>5</v>
      </c>
      <c r="G22" s="2">
        <v>6</v>
      </c>
      <c r="H22" s="2">
        <v>7</v>
      </c>
      <c r="I22" s="2">
        <v>8</v>
      </c>
      <c r="J22" s="2">
        <v>9</v>
      </c>
      <c r="K22" s="2">
        <v>10</v>
      </c>
      <c r="L22" s="2">
        <v>11</v>
      </c>
      <c r="M22" s="2">
        <v>12</v>
      </c>
      <c r="O22">
        <v>0.05</v>
      </c>
      <c r="P22">
        <f>AVERAGE(B34:C34)</f>
        <v>0.53</v>
      </c>
      <c r="Q22">
        <f t="shared" ref="Q22:Q25" si="6">P22-P$21</f>
        <v>0.17050000000000004</v>
      </c>
      <c r="S22">
        <v>2</v>
      </c>
      <c r="T22" t="s">
        <v>0</v>
      </c>
      <c r="U22" t="s">
        <v>221</v>
      </c>
      <c r="V22" t="s">
        <v>222</v>
      </c>
      <c r="W22" t="s">
        <v>223</v>
      </c>
      <c r="X22" t="s">
        <v>224</v>
      </c>
    </row>
    <row r="23" spans="1:24" x14ac:dyDescent="0.25">
      <c r="A23" s="2" t="s">
        <v>118</v>
      </c>
      <c r="B23" s="3">
        <v>0.38800000000000001</v>
      </c>
      <c r="C23" s="3">
        <v>0.41499999999999998</v>
      </c>
      <c r="D23" s="4"/>
      <c r="E23" s="8">
        <v>0.79100000000000004</v>
      </c>
      <c r="F23" s="5">
        <v>0.746</v>
      </c>
      <c r="G23" s="7">
        <v>0.61</v>
      </c>
      <c r="H23" s="7">
        <v>0.55300000000000005</v>
      </c>
      <c r="I23" s="5">
        <v>0.76100000000000001</v>
      </c>
      <c r="J23" s="6">
        <v>0.63</v>
      </c>
      <c r="K23" s="8">
        <v>0.78900000000000003</v>
      </c>
      <c r="L23" s="6">
        <v>0.67800000000000005</v>
      </c>
      <c r="M23" s="6">
        <v>0.70299999999999996</v>
      </c>
      <c r="O23">
        <v>0.1</v>
      </c>
      <c r="P23">
        <f>AVERAGE(B36:C36)</f>
        <v>0.66050000000000009</v>
      </c>
      <c r="Q23">
        <f t="shared" si="6"/>
        <v>0.3010000000000001</v>
      </c>
      <c r="T23" t="s">
        <v>118</v>
      </c>
      <c r="U23" s="8">
        <v>0.79900000000000004</v>
      </c>
      <c r="V23">
        <f>U23-P$9</f>
        <v>0.41700000000000004</v>
      </c>
      <c r="W23">
        <f>(V23-0.0015)/1.8898</f>
        <v>0.21986453592972804</v>
      </c>
      <c r="X23">
        <f>W23*7</f>
        <v>1.5390517515080964</v>
      </c>
    </row>
    <row r="24" spans="1:24" x14ac:dyDescent="0.25">
      <c r="A24" s="2" t="s">
        <v>120</v>
      </c>
      <c r="B24" s="9">
        <v>0.47799999999999998</v>
      </c>
      <c r="C24" s="9">
        <v>0.48599999999999999</v>
      </c>
      <c r="D24" s="4"/>
      <c r="E24" s="4"/>
      <c r="F24" s="4"/>
      <c r="G24" s="4"/>
      <c r="H24" s="4"/>
      <c r="I24" s="4"/>
      <c r="J24" s="4"/>
      <c r="K24" s="4"/>
      <c r="L24" s="4"/>
      <c r="M24" s="4"/>
      <c r="O24">
        <v>0.25</v>
      </c>
      <c r="P24">
        <f>AVERAGE(B38:C38)</f>
        <v>0.91349999999999998</v>
      </c>
      <c r="Q24">
        <f t="shared" si="6"/>
        <v>0.55400000000000005</v>
      </c>
      <c r="T24" t="s">
        <v>120</v>
      </c>
      <c r="U24" s="6">
        <v>0.65500000000000003</v>
      </c>
      <c r="V24">
        <f t="shared" ref="V24:V41" si="7">U24-P$9</f>
        <v>0.27300000000000002</v>
      </c>
      <c r="W24">
        <f t="shared" ref="W24:W41" si="8">(V24-0.0015)/1.8898</f>
        <v>0.14366599640173566</v>
      </c>
      <c r="X24">
        <f t="shared" ref="X24:X41" si="9">W24*7</f>
        <v>1.0056619748121496</v>
      </c>
    </row>
    <row r="25" spans="1:24" x14ac:dyDescent="0.25">
      <c r="A25" s="2" t="s">
        <v>76</v>
      </c>
      <c r="B25" s="4"/>
      <c r="C25" s="4"/>
      <c r="D25" s="4"/>
      <c r="E25" s="10">
        <v>1.0940000000000001</v>
      </c>
      <c r="F25" s="6">
        <v>0.63200000000000001</v>
      </c>
      <c r="G25" s="7">
        <v>0.57299999999999995</v>
      </c>
      <c r="H25" s="7">
        <v>0.56799999999999995</v>
      </c>
      <c r="I25" s="5">
        <v>0.76600000000000001</v>
      </c>
      <c r="J25" s="8">
        <v>0.80900000000000005</v>
      </c>
      <c r="K25" s="6">
        <v>0.69599999999999995</v>
      </c>
      <c r="L25" s="7">
        <v>0.61499999999999999</v>
      </c>
      <c r="M25" s="6">
        <v>0.67600000000000005</v>
      </c>
      <c r="O25">
        <v>0.5</v>
      </c>
      <c r="P25">
        <f>AVERAGE(B40:C40)</f>
        <v>1.2450000000000001</v>
      </c>
      <c r="Q25">
        <f t="shared" si="6"/>
        <v>0.88550000000000018</v>
      </c>
      <c r="T25" t="s">
        <v>76</v>
      </c>
      <c r="U25" s="6">
        <v>0.61</v>
      </c>
      <c r="V25">
        <f t="shared" si="7"/>
        <v>0.22799999999999998</v>
      </c>
      <c r="W25">
        <f t="shared" si="8"/>
        <v>0.11985395279923801</v>
      </c>
      <c r="X25">
        <f t="shared" si="9"/>
        <v>0.83897766959466602</v>
      </c>
    </row>
    <row r="26" spans="1:24" x14ac:dyDescent="0.25">
      <c r="A26" s="2" t="s">
        <v>121</v>
      </c>
      <c r="B26" s="7">
        <v>0.59399999999999997</v>
      </c>
      <c r="C26" s="7">
        <v>0.58899999999999997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>
        <v>5</v>
      </c>
      <c r="T26" t="s">
        <v>121</v>
      </c>
      <c r="U26" s="9">
        <v>0.49399999999999999</v>
      </c>
      <c r="V26">
        <f t="shared" si="7"/>
        <v>0.11199999999999999</v>
      </c>
      <c r="W26">
        <f t="shared" si="8"/>
        <v>5.8471795957244145E-2</v>
      </c>
      <c r="X26">
        <f t="shared" si="9"/>
        <v>0.40930257170070899</v>
      </c>
    </row>
    <row r="27" spans="1:24" x14ac:dyDescent="0.25">
      <c r="A27" s="2" t="s">
        <v>122</v>
      </c>
      <c r="B27" s="4"/>
      <c r="C27" s="4"/>
      <c r="D27" s="4"/>
      <c r="E27" s="7">
        <v>0.60299999999999998</v>
      </c>
      <c r="F27" s="4"/>
      <c r="G27" s="4"/>
      <c r="H27" s="4"/>
      <c r="I27" s="4"/>
      <c r="J27" s="4"/>
      <c r="K27" s="4"/>
      <c r="L27" s="4"/>
      <c r="M27" s="4"/>
      <c r="O27">
        <v>0</v>
      </c>
      <c r="P27">
        <f>AVERAGE(B43:C43)</f>
        <v>0.34699999999999998</v>
      </c>
      <c r="Q27">
        <f>P27-P$27</f>
        <v>0</v>
      </c>
      <c r="T27" t="s">
        <v>122</v>
      </c>
      <c r="U27" s="5">
        <v>0.68600000000000005</v>
      </c>
      <c r="V27">
        <f t="shared" si="7"/>
        <v>0.30400000000000005</v>
      </c>
      <c r="W27">
        <f t="shared" si="8"/>
        <v>0.16006984866123403</v>
      </c>
      <c r="X27">
        <f t="shared" si="9"/>
        <v>1.1204889406286382</v>
      </c>
    </row>
    <row r="28" spans="1:24" x14ac:dyDescent="0.25">
      <c r="A28" s="2" t="s">
        <v>123</v>
      </c>
      <c r="B28" s="8">
        <v>0.82499999999999996</v>
      </c>
      <c r="C28" s="5">
        <v>0.78</v>
      </c>
      <c r="D28" s="4"/>
      <c r="E28" s="4"/>
      <c r="F28" s="4"/>
      <c r="G28" s="4"/>
      <c r="H28" s="4"/>
      <c r="I28" s="4"/>
      <c r="J28" s="4"/>
      <c r="K28" s="4"/>
      <c r="L28" s="4"/>
      <c r="M28" s="4"/>
      <c r="O28">
        <v>0.05</v>
      </c>
      <c r="P28">
        <f>AVERAGE(B44:C44)</f>
        <v>0.504</v>
      </c>
      <c r="Q28">
        <f t="shared" ref="Q28:Q31" si="10">P28-P$27</f>
        <v>0.15700000000000003</v>
      </c>
      <c r="T28" t="s">
        <v>123</v>
      </c>
      <c r="U28" s="7">
        <v>0.53200000000000003</v>
      </c>
      <c r="V28">
        <f t="shared" si="7"/>
        <v>0.15000000000000002</v>
      </c>
      <c r="W28">
        <f t="shared" si="8"/>
        <v>7.8579743888242154E-2</v>
      </c>
      <c r="X28">
        <f t="shared" si="9"/>
        <v>0.55005820721769505</v>
      </c>
    </row>
    <row r="29" spans="1:24" x14ac:dyDescent="0.25">
      <c r="A29" s="2" t="s">
        <v>124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O29">
        <v>0.1</v>
      </c>
      <c r="P29">
        <f>AVERAGE(B46:C46)</f>
        <v>0.63749999999999996</v>
      </c>
      <c r="Q29">
        <f t="shared" si="10"/>
        <v>0.29049999999999998</v>
      </c>
      <c r="T29" t="s">
        <v>124</v>
      </c>
      <c r="U29" s="13">
        <v>0.84199999999999997</v>
      </c>
      <c r="V29">
        <f t="shared" si="7"/>
        <v>0.45999999999999996</v>
      </c>
      <c r="W29">
        <f t="shared" si="8"/>
        <v>0.24261826648322574</v>
      </c>
      <c r="X29">
        <f t="shared" si="9"/>
        <v>1.6983278653825802</v>
      </c>
    </row>
    <row r="30" spans="1:24" x14ac:dyDescent="0.25">
      <c r="A30" s="2" t="s">
        <v>125</v>
      </c>
      <c r="B30" s="14">
        <v>1.3879999999999999</v>
      </c>
      <c r="C30" s="11">
        <v>1.504</v>
      </c>
      <c r="D30" s="4"/>
      <c r="E30" s="4"/>
      <c r="F30" s="4"/>
      <c r="G30" s="4"/>
      <c r="H30" s="4"/>
      <c r="I30" s="4"/>
      <c r="J30" s="4"/>
      <c r="K30" s="4"/>
      <c r="L30" s="4"/>
      <c r="M30" s="4"/>
      <c r="O30">
        <v>0.25</v>
      </c>
      <c r="P30">
        <f>AVERAGE(B48:C48)</f>
        <v>0.91949999999999998</v>
      </c>
      <c r="Q30">
        <f t="shared" si="10"/>
        <v>0.57250000000000001</v>
      </c>
      <c r="T30" t="s">
        <v>125</v>
      </c>
      <c r="U30" s="6">
        <v>0.60199999999999998</v>
      </c>
      <c r="V30">
        <f t="shared" si="7"/>
        <v>0.21999999999999997</v>
      </c>
      <c r="W30">
        <f t="shared" si="8"/>
        <v>0.11562070060323842</v>
      </c>
      <c r="X30">
        <f t="shared" si="9"/>
        <v>0.80934490422266903</v>
      </c>
    </row>
    <row r="31" spans="1:24" x14ac:dyDescent="0.25">
      <c r="A31">
        <v>4</v>
      </c>
      <c r="O31">
        <v>0.5</v>
      </c>
      <c r="P31">
        <f>AVERAGE(B50:C50)</f>
        <v>1.2685</v>
      </c>
      <c r="Q31">
        <f t="shared" si="10"/>
        <v>0.92149999999999999</v>
      </c>
      <c r="T31" t="s">
        <v>126</v>
      </c>
      <c r="U31" s="8">
        <v>0.753</v>
      </c>
      <c r="V31">
        <f t="shared" si="7"/>
        <v>0.371</v>
      </c>
      <c r="W31">
        <f t="shared" si="8"/>
        <v>0.19552333580273046</v>
      </c>
      <c r="X31">
        <f t="shared" si="9"/>
        <v>1.3686633506191133</v>
      </c>
    </row>
    <row r="32" spans="1:24" x14ac:dyDescent="0.25">
      <c r="A32" s="1"/>
      <c r="B32" s="2">
        <v>1</v>
      </c>
      <c r="C32" s="2">
        <v>2</v>
      </c>
      <c r="D32" s="2">
        <v>3</v>
      </c>
      <c r="E32" s="2">
        <v>4</v>
      </c>
      <c r="F32" s="2">
        <v>5</v>
      </c>
      <c r="G32" s="2">
        <v>6</v>
      </c>
      <c r="H32" s="2">
        <v>7</v>
      </c>
      <c r="I32" s="2">
        <v>8</v>
      </c>
      <c r="J32" s="2">
        <v>9</v>
      </c>
      <c r="K32" s="2">
        <v>10</v>
      </c>
      <c r="L32" s="2">
        <v>11</v>
      </c>
      <c r="M32" s="2">
        <v>12</v>
      </c>
      <c r="N32">
        <v>6</v>
      </c>
      <c r="T32" t="s">
        <v>127</v>
      </c>
      <c r="U32" s="10">
        <v>1</v>
      </c>
      <c r="V32">
        <f t="shared" si="7"/>
        <v>0.61799999999999999</v>
      </c>
      <c r="W32">
        <f t="shared" si="8"/>
        <v>0.32622499735421739</v>
      </c>
      <c r="X32">
        <f t="shared" si="9"/>
        <v>2.2835749814795219</v>
      </c>
    </row>
    <row r="33" spans="1:24" x14ac:dyDescent="0.25">
      <c r="A33" s="2" t="s">
        <v>118</v>
      </c>
      <c r="B33" s="3">
        <v>0.36399999999999999</v>
      </c>
      <c r="C33" s="3">
        <v>0.35499999999999998</v>
      </c>
      <c r="D33" s="4"/>
      <c r="E33" s="8">
        <v>0.72299999999999998</v>
      </c>
      <c r="F33" s="8">
        <v>0.70699999999999996</v>
      </c>
      <c r="G33" s="8">
        <v>0.73899999999999999</v>
      </c>
      <c r="H33" s="5">
        <v>0.64900000000000002</v>
      </c>
      <c r="I33" s="5">
        <v>0.66900000000000004</v>
      </c>
      <c r="J33" s="10">
        <v>0.89800000000000002</v>
      </c>
      <c r="K33" s="13">
        <v>0.77</v>
      </c>
      <c r="L33" s="8">
        <v>0.71099999999999997</v>
      </c>
      <c r="M33" s="13">
        <v>0.78</v>
      </c>
      <c r="O33">
        <v>0</v>
      </c>
      <c r="P33">
        <f>AVERAGE(B53:C53)</f>
        <v>0.35249999999999998</v>
      </c>
      <c r="Q33">
        <f>P33-P$33</f>
        <v>0</v>
      </c>
      <c r="T33" t="s">
        <v>128</v>
      </c>
      <c r="U33" s="5">
        <v>0.67800000000000005</v>
      </c>
      <c r="V33">
        <f t="shared" si="7"/>
        <v>0.29600000000000004</v>
      </c>
      <c r="W33">
        <f t="shared" si="8"/>
        <v>0.15583659646523446</v>
      </c>
      <c r="X33">
        <f t="shared" si="9"/>
        <v>1.0908561752566412</v>
      </c>
    </row>
    <row r="34" spans="1:24" x14ac:dyDescent="0.25">
      <c r="A34" s="2" t="s">
        <v>120</v>
      </c>
      <c r="B34" s="7">
        <v>0.52400000000000002</v>
      </c>
      <c r="C34" s="7">
        <v>0.53600000000000003</v>
      </c>
      <c r="D34" s="4"/>
      <c r="E34" s="4"/>
      <c r="F34" s="4"/>
      <c r="G34" s="4"/>
      <c r="H34" s="4"/>
      <c r="I34" s="4"/>
      <c r="J34" s="4"/>
      <c r="K34" s="4"/>
      <c r="L34" s="4"/>
      <c r="M34" s="4"/>
      <c r="O34">
        <v>0.05</v>
      </c>
      <c r="P34">
        <f>AVERAGE(B54:C54)</f>
        <v>0.51950000000000007</v>
      </c>
      <c r="Q34">
        <f t="shared" ref="Q34:Q37" si="11">P34-P$33</f>
        <v>0.16700000000000009</v>
      </c>
      <c r="T34" t="s">
        <v>129</v>
      </c>
      <c r="U34" s="6">
        <v>0.60299999999999998</v>
      </c>
      <c r="V34">
        <f t="shared" si="7"/>
        <v>0.22099999999999997</v>
      </c>
      <c r="W34">
        <f t="shared" si="8"/>
        <v>0.11614985712773837</v>
      </c>
      <c r="X34">
        <f t="shared" si="9"/>
        <v>0.81304899989416857</v>
      </c>
    </row>
    <row r="35" spans="1:24" x14ac:dyDescent="0.25">
      <c r="A35" s="2" t="s">
        <v>76</v>
      </c>
      <c r="B35" s="4"/>
      <c r="C35" s="4"/>
      <c r="D35" s="4"/>
      <c r="E35" s="8">
        <v>0.71</v>
      </c>
      <c r="F35" s="8">
        <v>0.745</v>
      </c>
      <c r="G35" s="5">
        <v>0.67600000000000005</v>
      </c>
      <c r="H35" s="13">
        <v>0.81200000000000006</v>
      </c>
      <c r="I35" s="5">
        <v>0.64600000000000002</v>
      </c>
      <c r="J35" s="15">
        <v>0.81699999999999995</v>
      </c>
      <c r="K35" s="13">
        <v>0.76</v>
      </c>
      <c r="L35" s="8">
        <v>0.69299999999999995</v>
      </c>
      <c r="M35" s="13">
        <v>0.78400000000000003</v>
      </c>
      <c r="O35">
        <v>0.1</v>
      </c>
      <c r="P35">
        <f>AVERAGE(B56:C56)</f>
        <v>0.63500000000000001</v>
      </c>
      <c r="Q35">
        <f t="shared" si="11"/>
        <v>0.28250000000000003</v>
      </c>
      <c r="T35" t="s">
        <v>130</v>
      </c>
      <c r="U35" s="7">
        <v>0.54600000000000004</v>
      </c>
      <c r="V35">
        <f t="shared" si="7"/>
        <v>0.16400000000000003</v>
      </c>
      <c r="W35">
        <f t="shared" si="8"/>
        <v>8.5987935231241416E-2</v>
      </c>
      <c r="X35">
        <f t="shared" si="9"/>
        <v>0.60191554661868996</v>
      </c>
    </row>
    <row r="36" spans="1:24" x14ac:dyDescent="0.25">
      <c r="A36" s="2" t="s">
        <v>121</v>
      </c>
      <c r="B36" s="5">
        <v>0.66</v>
      </c>
      <c r="C36" s="5">
        <v>0.66100000000000003</v>
      </c>
      <c r="D36" s="4"/>
      <c r="E36" s="4"/>
      <c r="F36" s="4"/>
      <c r="G36" s="4"/>
      <c r="H36" s="4"/>
      <c r="I36" s="4"/>
      <c r="J36" s="4"/>
      <c r="K36" s="4"/>
      <c r="L36" s="4"/>
      <c r="M36" s="4"/>
      <c r="O36">
        <v>0.25</v>
      </c>
      <c r="P36">
        <f>AVERAGE(B58:C58)</f>
        <v>0.91849999999999998</v>
      </c>
      <c r="Q36">
        <f t="shared" si="11"/>
        <v>0.56600000000000006</v>
      </c>
      <c r="T36" t="s">
        <v>131</v>
      </c>
      <c r="U36" s="10">
        <v>1.0109999999999999</v>
      </c>
      <c r="V36">
        <f t="shared" si="7"/>
        <v>0.62899999999999989</v>
      </c>
      <c r="W36">
        <f t="shared" si="8"/>
        <v>0.33204571912371678</v>
      </c>
      <c r="X36">
        <f t="shared" si="9"/>
        <v>2.3243200338660173</v>
      </c>
    </row>
    <row r="37" spans="1:24" x14ac:dyDescent="0.25">
      <c r="A37" s="2" t="s">
        <v>122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O37">
        <v>0.5</v>
      </c>
      <c r="P37">
        <f>AVERAGE(B60:C60)</f>
        <v>1.2685</v>
      </c>
      <c r="Q37">
        <f t="shared" si="11"/>
        <v>0.91599999999999993</v>
      </c>
      <c r="T37" t="s">
        <v>132</v>
      </c>
      <c r="U37" s="8">
        <v>0.77900000000000003</v>
      </c>
      <c r="V37">
        <f t="shared" si="7"/>
        <v>0.39700000000000002</v>
      </c>
      <c r="W37">
        <f t="shared" si="8"/>
        <v>0.20928140543972909</v>
      </c>
      <c r="X37">
        <f t="shared" si="9"/>
        <v>1.4649698380781035</v>
      </c>
    </row>
    <row r="38" spans="1:24" x14ac:dyDescent="0.25">
      <c r="A38" s="2" t="s">
        <v>123</v>
      </c>
      <c r="B38" s="10">
        <v>0.89600000000000002</v>
      </c>
      <c r="C38" s="10">
        <v>0.93100000000000005</v>
      </c>
      <c r="D38" s="4"/>
      <c r="E38" s="4"/>
      <c r="F38" s="4"/>
      <c r="G38" s="4"/>
      <c r="H38" s="4"/>
      <c r="I38" s="4"/>
      <c r="J38" s="4"/>
      <c r="K38" s="4"/>
      <c r="L38" s="4"/>
      <c r="M38" s="4"/>
      <c r="T38" t="s">
        <v>9</v>
      </c>
      <c r="U38" s="10">
        <v>1.0009999999999999</v>
      </c>
      <c r="V38">
        <f t="shared" si="7"/>
        <v>0.61899999999999988</v>
      </c>
      <c r="W38">
        <f t="shared" si="8"/>
        <v>0.32675415387871731</v>
      </c>
      <c r="X38">
        <f t="shared" si="9"/>
        <v>2.2872790771510214</v>
      </c>
    </row>
    <row r="39" spans="1:24" x14ac:dyDescent="0.25">
      <c r="A39" s="2" t="s">
        <v>124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T39" t="s">
        <v>133</v>
      </c>
      <c r="U39" s="6">
        <v>0.60399999999999998</v>
      </c>
      <c r="V39">
        <f t="shared" si="7"/>
        <v>0.22199999999999998</v>
      </c>
      <c r="W39">
        <f t="shared" si="8"/>
        <v>0.11667901365223832</v>
      </c>
      <c r="X39">
        <f t="shared" si="9"/>
        <v>0.81675309556566822</v>
      </c>
    </row>
    <row r="40" spans="1:24" x14ac:dyDescent="0.25">
      <c r="A40" s="2" t="s">
        <v>125</v>
      </c>
      <c r="B40" s="11">
        <v>1.2729999999999999</v>
      </c>
      <c r="C40" s="11">
        <v>1.2170000000000001</v>
      </c>
      <c r="D40" s="4"/>
      <c r="E40" s="4"/>
      <c r="F40" s="4"/>
      <c r="G40" s="4"/>
      <c r="H40" s="4"/>
      <c r="I40" s="4"/>
      <c r="J40" s="4"/>
      <c r="K40" s="4"/>
      <c r="L40" s="4"/>
      <c r="M40" s="4"/>
      <c r="T40" t="s">
        <v>134</v>
      </c>
      <c r="U40" s="5">
        <v>0.72399999999999998</v>
      </c>
      <c r="V40">
        <f t="shared" si="7"/>
        <v>0.34199999999999997</v>
      </c>
      <c r="W40">
        <f t="shared" si="8"/>
        <v>0.18017779659223199</v>
      </c>
      <c r="X40">
        <f t="shared" si="9"/>
        <v>1.2612445761456239</v>
      </c>
    </row>
    <row r="41" spans="1:24" x14ac:dyDescent="0.25">
      <c r="A41">
        <v>5</v>
      </c>
      <c r="T41" t="s">
        <v>135</v>
      </c>
      <c r="U41" s="6">
        <v>0.627</v>
      </c>
      <c r="V41">
        <f t="shared" si="7"/>
        <v>0.245</v>
      </c>
      <c r="W41">
        <f t="shared" si="8"/>
        <v>0.12884961371573711</v>
      </c>
      <c r="X41">
        <f t="shared" si="9"/>
        <v>0.90194729601015977</v>
      </c>
    </row>
    <row r="42" spans="1:24" x14ac:dyDescent="0.25">
      <c r="A42" s="12"/>
      <c r="B42" s="2">
        <v>1</v>
      </c>
      <c r="C42" s="2">
        <v>2</v>
      </c>
      <c r="D42" s="2">
        <v>3</v>
      </c>
      <c r="E42" s="2">
        <v>4</v>
      </c>
      <c r="F42" s="2">
        <v>5</v>
      </c>
      <c r="G42" s="2">
        <v>6</v>
      </c>
      <c r="H42" s="2">
        <v>7</v>
      </c>
      <c r="I42" s="2">
        <v>8</v>
      </c>
      <c r="J42" s="2">
        <v>9</v>
      </c>
      <c r="K42" s="2">
        <v>10</v>
      </c>
      <c r="L42" s="2">
        <v>11</v>
      </c>
      <c r="M42" s="2">
        <v>12</v>
      </c>
      <c r="S42">
        <v>3</v>
      </c>
      <c r="T42" t="s">
        <v>0</v>
      </c>
      <c r="U42" t="s">
        <v>221</v>
      </c>
      <c r="V42" t="s">
        <v>222</v>
      </c>
      <c r="W42" t="s">
        <v>223</v>
      </c>
      <c r="X42" t="s">
        <v>224</v>
      </c>
    </row>
    <row r="43" spans="1:24" x14ac:dyDescent="0.25">
      <c r="A43" s="2" t="s">
        <v>118</v>
      </c>
      <c r="B43" s="3">
        <v>0.35199999999999998</v>
      </c>
      <c r="C43" s="3">
        <v>0.34200000000000003</v>
      </c>
      <c r="D43" s="4"/>
      <c r="E43" s="8">
        <v>0.73899999999999999</v>
      </c>
      <c r="F43" s="8">
        <v>0.71199999999999997</v>
      </c>
      <c r="G43" s="8">
        <v>0.74199999999999999</v>
      </c>
      <c r="H43" s="5">
        <v>0.63400000000000001</v>
      </c>
      <c r="I43" s="5">
        <v>0.64200000000000002</v>
      </c>
      <c r="J43" s="16">
        <v>0.96699999999999997</v>
      </c>
      <c r="K43" s="13">
        <v>0.76</v>
      </c>
      <c r="L43" s="8">
        <v>0.72199999999999998</v>
      </c>
      <c r="M43" s="15">
        <v>0.82</v>
      </c>
      <c r="T43" t="s">
        <v>118</v>
      </c>
      <c r="U43" s="8">
        <v>0.79100000000000004</v>
      </c>
      <c r="V43">
        <f>U43-P$15</f>
        <v>0.38950000000000007</v>
      </c>
      <c r="W43">
        <f>(V43+0.0286)/2.0653</f>
        <v>0.20244032343969401</v>
      </c>
      <c r="X43">
        <f>W43*7</f>
        <v>1.417082264077858</v>
      </c>
    </row>
    <row r="44" spans="1:24" x14ac:dyDescent="0.25">
      <c r="A44" s="2" t="s">
        <v>120</v>
      </c>
      <c r="B44" s="7">
        <v>0.495</v>
      </c>
      <c r="C44" s="7">
        <v>0.51300000000000001</v>
      </c>
      <c r="D44" s="4"/>
      <c r="E44" s="4"/>
      <c r="F44" s="4"/>
      <c r="G44" s="4"/>
      <c r="H44" s="4"/>
      <c r="I44" s="4"/>
      <c r="J44" s="4"/>
      <c r="K44" s="4"/>
      <c r="L44" s="4"/>
      <c r="M44" s="4"/>
      <c r="T44" t="s">
        <v>120</v>
      </c>
      <c r="U44" s="5">
        <v>0.746</v>
      </c>
      <c r="V44">
        <f t="shared" ref="V44:V61" si="12">U44-P$15</f>
        <v>0.34450000000000003</v>
      </c>
      <c r="W44">
        <f t="shared" ref="W44:W61" si="13">(V44+0.0286)/2.0653</f>
        <v>0.18065172129956908</v>
      </c>
      <c r="X44">
        <f t="shared" ref="X44:X61" si="14">W44*7</f>
        <v>1.2645620490969836</v>
      </c>
    </row>
    <row r="45" spans="1:24" x14ac:dyDescent="0.25">
      <c r="A45" s="2" t="s">
        <v>76</v>
      </c>
      <c r="B45" s="4"/>
      <c r="C45" s="4"/>
      <c r="D45" s="4"/>
      <c r="E45" s="8">
        <v>0.73599999999999999</v>
      </c>
      <c r="F45" s="8">
        <v>0.71299999999999997</v>
      </c>
      <c r="G45" s="5">
        <v>0.64200000000000002</v>
      </c>
      <c r="H45" s="13">
        <v>0.79700000000000004</v>
      </c>
      <c r="I45" s="5">
        <v>0.64700000000000002</v>
      </c>
      <c r="J45" s="15">
        <v>0.85099999999999998</v>
      </c>
      <c r="K45" s="13">
        <v>0.753</v>
      </c>
      <c r="L45" s="5">
        <v>0.67900000000000005</v>
      </c>
      <c r="M45" s="15">
        <v>0.82499999999999996</v>
      </c>
      <c r="T45" t="s">
        <v>76</v>
      </c>
      <c r="U45" s="7">
        <v>0.61</v>
      </c>
      <c r="V45">
        <f t="shared" si="12"/>
        <v>0.20850000000000002</v>
      </c>
      <c r="W45">
        <f t="shared" si="13"/>
        <v>0.11480172372052487</v>
      </c>
      <c r="X45">
        <f t="shared" si="14"/>
        <v>0.80361206604367408</v>
      </c>
    </row>
    <row r="46" spans="1:24" x14ac:dyDescent="0.25">
      <c r="A46" s="2" t="s">
        <v>121</v>
      </c>
      <c r="B46" s="5">
        <v>0.64200000000000002</v>
      </c>
      <c r="C46" s="5">
        <v>0.63300000000000001</v>
      </c>
      <c r="D46" s="4"/>
      <c r="E46" s="4"/>
      <c r="F46" s="4"/>
      <c r="G46" s="4"/>
      <c r="H46" s="4"/>
      <c r="I46" s="4"/>
      <c r="J46" s="4"/>
      <c r="K46" s="4"/>
      <c r="L46" s="4"/>
      <c r="M46" s="4"/>
      <c r="T46" t="s">
        <v>121</v>
      </c>
      <c r="U46" s="7">
        <v>0.55300000000000005</v>
      </c>
      <c r="V46">
        <f t="shared" si="12"/>
        <v>0.15150000000000008</v>
      </c>
      <c r="W46">
        <f t="shared" si="13"/>
        <v>8.7202827676366668E-2</v>
      </c>
      <c r="X46">
        <f t="shared" si="14"/>
        <v>0.61041979373456667</v>
      </c>
    </row>
    <row r="47" spans="1:24" x14ac:dyDescent="0.25">
      <c r="A47" s="2" t="s">
        <v>122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T47" t="s">
        <v>122</v>
      </c>
      <c r="U47" s="5">
        <v>0.76100000000000001</v>
      </c>
      <c r="V47">
        <f t="shared" si="12"/>
        <v>0.35950000000000004</v>
      </c>
      <c r="W47">
        <f t="shared" si="13"/>
        <v>0.18791458867961072</v>
      </c>
      <c r="X47">
        <f t="shared" si="14"/>
        <v>1.315402120757275</v>
      </c>
    </row>
    <row r="48" spans="1:24" x14ac:dyDescent="0.25">
      <c r="A48" s="2" t="s">
        <v>123</v>
      </c>
      <c r="B48" s="10">
        <v>0.92700000000000005</v>
      </c>
      <c r="C48" s="10">
        <v>0.91200000000000003</v>
      </c>
      <c r="D48" s="4"/>
      <c r="E48" s="4"/>
      <c r="F48" s="4"/>
      <c r="G48" s="4"/>
      <c r="H48" s="4"/>
      <c r="I48" s="4"/>
      <c r="J48" s="4"/>
      <c r="K48" s="4"/>
      <c r="L48" s="4"/>
      <c r="M48" s="4"/>
      <c r="T48" t="s">
        <v>123</v>
      </c>
      <c r="U48" s="6">
        <v>0.63</v>
      </c>
      <c r="V48">
        <f t="shared" si="12"/>
        <v>0.22850000000000004</v>
      </c>
      <c r="W48">
        <f t="shared" si="13"/>
        <v>0.12448554689391374</v>
      </c>
      <c r="X48">
        <f t="shared" si="14"/>
        <v>0.87139882825739612</v>
      </c>
    </row>
    <row r="49" spans="1:24" x14ac:dyDescent="0.25">
      <c r="A49" s="2" t="s">
        <v>124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T49" t="s">
        <v>124</v>
      </c>
      <c r="U49" s="8">
        <v>0.78900000000000003</v>
      </c>
      <c r="V49">
        <f t="shared" si="12"/>
        <v>0.38750000000000007</v>
      </c>
      <c r="W49">
        <f t="shared" si="13"/>
        <v>0.20147194112235514</v>
      </c>
      <c r="X49">
        <f t="shared" si="14"/>
        <v>1.410303587856486</v>
      </c>
    </row>
    <row r="50" spans="1:24" x14ac:dyDescent="0.25">
      <c r="A50" s="2" t="s">
        <v>125</v>
      </c>
      <c r="B50" s="11">
        <v>1.2949999999999999</v>
      </c>
      <c r="C50" s="11">
        <v>1.242</v>
      </c>
      <c r="D50" s="4"/>
      <c r="E50" s="4"/>
      <c r="F50" s="4"/>
      <c r="G50" s="4"/>
      <c r="H50" s="4"/>
      <c r="I50" s="4"/>
      <c r="J50" s="4"/>
      <c r="K50" s="4"/>
      <c r="L50" s="4"/>
      <c r="M50" s="4"/>
      <c r="T50" t="s">
        <v>125</v>
      </c>
      <c r="U50" s="6">
        <v>0.67800000000000005</v>
      </c>
      <c r="V50">
        <f t="shared" si="12"/>
        <v>0.27650000000000008</v>
      </c>
      <c r="W50">
        <f t="shared" si="13"/>
        <v>0.14772672251004701</v>
      </c>
      <c r="X50">
        <f t="shared" si="14"/>
        <v>1.0340870575703291</v>
      </c>
    </row>
    <row r="51" spans="1:24" x14ac:dyDescent="0.25">
      <c r="A51">
        <v>6</v>
      </c>
      <c r="T51" t="s">
        <v>126</v>
      </c>
      <c r="U51" s="6">
        <v>0.70299999999999996</v>
      </c>
      <c r="V51">
        <f t="shared" si="12"/>
        <v>0.30149999999999999</v>
      </c>
      <c r="W51">
        <f t="shared" si="13"/>
        <v>0.15983150147678302</v>
      </c>
      <c r="X51">
        <f t="shared" si="14"/>
        <v>1.1188205103374811</v>
      </c>
    </row>
    <row r="52" spans="1:24" x14ac:dyDescent="0.25">
      <c r="A52" s="12"/>
      <c r="B52" s="2">
        <v>1</v>
      </c>
      <c r="C52" s="2">
        <v>2</v>
      </c>
      <c r="D52" s="2">
        <v>3</v>
      </c>
      <c r="E52" s="2">
        <v>4</v>
      </c>
      <c r="F52" s="2">
        <v>5</v>
      </c>
      <c r="G52" s="2">
        <v>6</v>
      </c>
      <c r="H52" s="2">
        <v>7</v>
      </c>
      <c r="I52" s="2">
        <v>8</v>
      </c>
      <c r="J52" s="2">
        <v>9</v>
      </c>
      <c r="K52" s="2">
        <v>10</v>
      </c>
      <c r="L52" s="2">
        <v>11</v>
      </c>
      <c r="M52" s="2">
        <v>12</v>
      </c>
      <c r="T52" t="s">
        <v>127</v>
      </c>
      <c r="U52" s="10">
        <v>1.0940000000000001</v>
      </c>
      <c r="V52">
        <f t="shared" si="12"/>
        <v>0.69250000000000012</v>
      </c>
      <c r="W52">
        <f t="shared" si="13"/>
        <v>0.34915024451653515</v>
      </c>
      <c r="X52">
        <f t="shared" si="14"/>
        <v>2.4440517116157459</v>
      </c>
    </row>
    <row r="53" spans="1:24" x14ac:dyDescent="0.25">
      <c r="A53" s="2" t="s">
        <v>118</v>
      </c>
      <c r="B53" s="3">
        <v>0.36</v>
      </c>
      <c r="C53" s="3">
        <v>0.34499999999999997</v>
      </c>
      <c r="D53" s="4"/>
      <c r="E53" s="8">
        <v>0.754</v>
      </c>
      <c r="F53" s="8">
        <v>0.71</v>
      </c>
      <c r="G53" s="8">
        <v>0.74399999999999999</v>
      </c>
      <c r="H53" s="5">
        <v>0.66500000000000004</v>
      </c>
      <c r="I53" s="5">
        <v>0.66</v>
      </c>
      <c r="J53" s="15">
        <v>0.85099999999999998</v>
      </c>
      <c r="K53" s="13">
        <v>0.79600000000000004</v>
      </c>
      <c r="L53" s="8">
        <v>0.71599999999999997</v>
      </c>
      <c r="M53" s="15">
        <v>0.85299999999999998</v>
      </c>
      <c r="T53" t="s">
        <v>128</v>
      </c>
      <c r="U53" s="6">
        <v>0.63200000000000001</v>
      </c>
      <c r="V53">
        <f t="shared" si="12"/>
        <v>0.23050000000000004</v>
      </c>
      <c r="W53">
        <f t="shared" si="13"/>
        <v>0.12545392921125262</v>
      </c>
      <c r="X53">
        <f t="shared" si="14"/>
        <v>0.8781775044787683</v>
      </c>
    </row>
    <row r="54" spans="1:24" x14ac:dyDescent="0.25">
      <c r="A54" s="2" t="s">
        <v>120</v>
      </c>
      <c r="B54" s="7">
        <v>0.51200000000000001</v>
      </c>
      <c r="C54" s="7">
        <v>0.52700000000000002</v>
      </c>
      <c r="D54" s="4"/>
      <c r="E54" s="4"/>
      <c r="F54" s="4"/>
      <c r="G54" s="4"/>
      <c r="H54" s="4"/>
      <c r="I54" s="4"/>
      <c r="J54" s="4"/>
      <c r="K54" s="4"/>
      <c r="L54" s="4"/>
      <c r="M54" s="4"/>
      <c r="T54" t="s">
        <v>129</v>
      </c>
      <c r="U54" s="7">
        <v>0.57299999999999995</v>
      </c>
      <c r="V54">
        <f t="shared" si="12"/>
        <v>0.17149999999999999</v>
      </c>
      <c r="W54">
        <f t="shared" si="13"/>
        <v>9.6886650849755479E-2</v>
      </c>
      <c r="X54">
        <f t="shared" si="14"/>
        <v>0.67820655594828838</v>
      </c>
    </row>
    <row r="55" spans="1:24" x14ac:dyDescent="0.25">
      <c r="A55" s="2" t="s">
        <v>76</v>
      </c>
      <c r="B55" s="4"/>
      <c r="C55" s="4"/>
      <c r="D55" s="4"/>
      <c r="E55" s="8">
        <v>0.73099999999999998</v>
      </c>
      <c r="F55" s="8">
        <v>0.72199999999999998</v>
      </c>
      <c r="G55" s="5">
        <v>0.624</v>
      </c>
      <c r="H55" s="15">
        <v>0.82799999999999996</v>
      </c>
      <c r="I55" s="5">
        <v>0.63300000000000001</v>
      </c>
      <c r="J55" s="15">
        <v>0.84599999999999997</v>
      </c>
      <c r="K55" s="8">
        <v>0.72</v>
      </c>
      <c r="L55" s="5">
        <v>0.68100000000000005</v>
      </c>
      <c r="M55" s="8">
        <v>0.74299999999999999</v>
      </c>
      <c r="T55" t="s">
        <v>130</v>
      </c>
      <c r="U55" s="7">
        <v>0.56799999999999995</v>
      </c>
      <c r="V55">
        <f t="shared" si="12"/>
        <v>0.16649999999999998</v>
      </c>
      <c r="W55">
        <f t="shared" si="13"/>
        <v>9.4465695056408255E-2</v>
      </c>
      <c r="X55">
        <f t="shared" si="14"/>
        <v>0.66125986539485782</v>
      </c>
    </row>
    <row r="56" spans="1:24" x14ac:dyDescent="0.25">
      <c r="A56" s="2" t="s">
        <v>121</v>
      </c>
      <c r="B56" s="5">
        <v>0.64100000000000001</v>
      </c>
      <c r="C56" s="5">
        <v>0.629</v>
      </c>
      <c r="D56" s="4"/>
      <c r="E56" s="4"/>
      <c r="F56" s="4"/>
      <c r="G56" s="4"/>
      <c r="H56" s="4"/>
      <c r="I56" s="4"/>
      <c r="J56" s="4"/>
      <c r="K56" s="4"/>
      <c r="L56" s="4"/>
      <c r="M56" s="4"/>
      <c r="T56" t="s">
        <v>131</v>
      </c>
      <c r="U56" s="5">
        <v>0.76600000000000001</v>
      </c>
      <c r="V56">
        <f t="shared" si="12"/>
        <v>0.36450000000000005</v>
      </c>
      <c r="W56">
        <f t="shared" si="13"/>
        <v>0.19033554447295795</v>
      </c>
      <c r="X56">
        <f t="shared" si="14"/>
        <v>1.3323488113107056</v>
      </c>
    </row>
    <row r="57" spans="1:24" x14ac:dyDescent="0.25">
      <c r="A57" s="2" t="s">
        <v>122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T57" t="s">
        <v>132</v>
      </c>
      <c r="U57" s="8">
        <v>0.80900000000000005</v>
      </c>
      <c r="V57">
        <f t="shared" si="12"/>
        <v>0.40750000000000008</v>
      </c>
      <c r="W57">
        <f t="shared" si="13"/>
        <v>0.21115576429574398</v>
      </c>
      <c r="X57">
        <f t="shared" si="14"/>
        <v>1.4780903500702078</v>
      </c>
    </row>
    <row r="58" spans="1:24" x14ac:dyDescent="0.25">
      <c r="A58" s="2" t="s">
        <v>123</v>
      </c>
      <c r="B58" s="10">
        <v>0.94599999999999995</v>
      </c>
      <c r="C58" s="15">
        <v>0.89100000000000001</v>
      </c>
      <c r="D58" s="4"/>
      <c r="E58" s="4"/>
      <c r="F58" s="4"/>
      <c r="G58" s="4"/>
      <c r="H58" s="4"/>
      <c r="I58" s="4"/>
      <c r="J58" s="4"/>
      <c r="K58" s="4"/>
      <c r="L58" s="4"/>
      <c r="M58" s="4"/>
      <c r="T58" t="s">
        <v>9</v>
      </c>
      <c r="U58" s="6">
        <v>0.69599999999999995</v>
      </c>
      <c r="V58">
        <f t="shared" si="12"/>
        <v>0.29449999999999998</v>
      </c>
      <c r="W58">
        <f t="shared" si="13"/>
        <v>0.15644216336609693</v>
      </c>
      <c r="X58">
        <f t="shared" si="14"/>
        <v>1.0950951435626786</v>
      </c>
    </row>
    <row r="59" spans="1:24" x14ac:dyDescent="0.25">
      <c r="A59" s="2" t="s">
        <v>124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T59" t="s">
        <v>133</v>
      </c>
      <c r="U59" s="7">
        <v>0.61499999999999999</v>
      </c>
      <c r="V59">
        <f t="shared" si="12"/>
        <v>0.21350000000000002</v>
      </c>
      <c r="W59">
        <f t="shared" si="13"/>
        <v>0.11722267951387209</v>
      </c>
      <c r="X59">
        <f t="shared" si="14"/>
        <v>0.82055875659710464</v>
      </c>
    </row>
    <row r="60" spans="1:24" x14ac:dyDescent="0.25">
      <c r="A60" s="2" t="s">
        <v>125</v>
      </c>
      <c r="B60" s="11">
        <v>1.3049999999999999</v>
      </c>
      <c r="C60" s="14">
        <v>1.232</v>
      </c>
      <c r="D60" s="4"/>
      <c r="E60" s="4"/>
      <c r="F60" s="4"/>
      <c r="G60" s="4"/>
      <c r="H60" s="4"/>
      <c r="I60" s="4"/>
      <c r="J60" s="4"/>
      <c r="K60" s="4"/>
      <c r="L60" s="4"/>
      <c r="M60" s="4"/>
      <c r="T60" t="s">
        <v>134</v>
      </c>
      <c r="U60" s="6">
        <v>0.67600000000000005</v>
      </c>
      <c r="V60">
        <f t="shared" si="12"/>
        <v>0.27450000000000008</v>
      </c>
      <c r="W60">
        <f t="shared" si="13"/>
        <v>0.14675834019270811</v>
      </c>
      <c r="X60">
        <f t="shared" si="14"/>
        <v>1.0273083813489567</v>
      </c>
    </row>
    <row r="61" spans="1:24" x14ac:dyDescent="0.25">
      <c r="T61" t="s">
        <v>135</v>
      </c>
      <c r="U61" s="7">
        <v>0.60299999999999998</v>
      </c>
      <c r="V61">
        <f t="shared" si="12"/>
        <v>0.20150000000000001</v>
      </c>
      <c r="W61">
        <f t="shared" si="13"/>
        <v>0.11141238560983877</v>
      </c>
      <c r="X61">
        <f t="shared" si="14"/>
        <v>0.77988669926887133</v>
      </c>
    </row>
    <row r="62" spans="1:24" x14ac:dyDescent="0.25">
      <c r="A62">
        <v>1</v>
      </c>
      <c r="J62">
        <v>2</v>
      </c>
      <c r="S62">
        <v>4</v>
      </c>
      <c r="T62" t="s">
        <v>0</v>
      </c>
      <c r="U62" t="s">
        <v>221</v>
      </c>
      <c r="V62" t="s">
        <v>222</v>
      </c>
      <c r="W62" t="s">
        <v>223</v>
      </c>
      <c r="X62" t="s">
        <v>224</v>
      </c>
    </row>
    <row r="63" spans="1:24" x14ac:dyDescent="0.25">
      <c r="T63" t="s">
        <v>118</v>
      </c>
      <c r="U63" s="8">
        <v>0.72299999999999998</v>
      </c>
      <c r="V63">
        <f>U63-P$21</f>
        <v>0.36349999999999999</v>
      </c>
      <c r="W63">
        <f>(V63-0.0775)/1.6926</f>
        <v>0.16897081413210444</v>
      </c>
      <c r="X63">
        <f>W63*7</f>
        <v>1.182795698924731</v>
      </c>
    </row>
    <row r="64" spans="1:24" x14ac:dyDescent="0.25">
      <c r="T64" t="s">
        <v>120</v>
      </c>
      <c r="U64" s="8">
        <v>0.70699999999999996</v>
      </c>
      <c r="V64">
        <f t="shared" ref="V64:V80" si="15">U64-P$21</f>
        <v>0.34749999999999998</v>
      </c>
      <c r="W64">
        <f t="shared" ref="W64:W80" si="16">(V64-0.0775)/1.6926</f>
        <v>0.15951790145338529</v>
      </c>
      <c r="X64">
        <f t="shared" ref="X64:X80" si="17">W64*7</f>
        <v>1.1166253101736969</v>
      </c>
    </row>
    <row r="65" spans="1:24" x14ac:dyDescent="0.25">
      <c r="T65" t="s">
        <v>76</v>
      </c>
      <c r="U65" s="8">
        <v>0.73899999999999999</v>
      </c>
      <c r="V65">
        <f t="shared" si="15"/>
        <v>0.3795</v>
      </c>
      <c r="W65">
        <f t="shared" si="16"/>
        <v>0.17842372681082358</v>
      </c>
      <c r="X65">
        <f t="shared" si="17"/>
        <v>1.2489660876757651</v>
      </c>
    </row>
    <row r="66" spans="1:24" x14ac:dyDescent="0.25">
      <c r="T66" t="s">
        <v>122</v>
      </c>
      <c r="U66" s="5">
        <v>0.64900000000000002</v>
      </c>
      <c r="V66">
        <f t="shared" si="15"/>
        <v>0.28950000000000004</v>
      </c>
      <c r="W66">
        <f t="shared" si="16"/>
        <v>0.12525109299302847</v>
      </c>
      <c r="X66">
        <f t="shared" si="17"/>
        <v>0.87675765095119929</v>
      </c>
    </row>
    <row r="67" spans="1:24" x14ac:dyDescent="0.25">
      <c r="T67" t="s">
        <v>123</v>
      </c>
      <c r="U67" s="5">
        <v>0.66900000000000004</v>
      </c>
      <c r="V67">
        <f t="shared" si="15"/>
        <v>0.30950000000000005</v>
      </c>
      <c r="W67">
        <f t="shared" si="16"/>
        <v>0.13706723384142741</v>
      </c>
      <c r="X67">
        <f t="shared" si="17"/>
        <v>0.9594706368899919</v>
      </c>
    </row>
    <row r="68" spans="1:24" x14ac:dyDescent="0.25">
      <c r="T68" t="s">
        <v>124</v>
      </c>
      <c r="U68" s="10">
        <v>0.89800000000000002</v>
      </c>
      <c r="V68">
        <f t="shared" si="15"/>
        <v>0.53849999999999998</v>
      </c>
      <c r="W68">
        <f t="shared" si="16"/>
        <v>0.27236204655559493</v>
      </c>
      <c r="X68">
        <f t="shared" si="17"/>
        <v>1.9065343258891645</v>
      </c>
    </row>
    <row r="69" spans="1:24" x14ac:dyDescent="0.25">
      <c r="T69" t="s">
        <v>125</v>
      </c>
      <c r="U69" s="13">
        <v>0.77</v>
      </c>
      <c r="V69">
        <f t="shared" si="15"/>
        <v>0.41050000000000003</v>
      </c>
      <c r="W69">
        <f t="shared" si="16"/>
        <v>0.19673874512584189</v>
      </c>
      <c r="X69">
        <f t="shared" si="17"/>
        <v>1.3771712158808933</v>
      </c>
    </row>
    <row r="70" spans="1:24" x14ac:dyDescent="0.25">
      <c r="T70" t="s">
        <v>126</v>
      </c>
      <c r="U70" s="8">
        <v>0.71099999999999997</v>
      </c>
      <c r="V70">
        <f t="shared" si="15"/>
        <v>0.35149999999999998</v>
      </c>
      <c r="W70">
        <f t="shared" si="16"/>
        <v>0.16188112962306508</v>
      </c>
      <c r="X70">
        <f t="shared" si="17"/>
        <v>1.1331679073614556</v>
      </c>
    </row>
    <row r="71" spans="1:24" x14ac:dyDescent="0.25">
      <c r="T71" t="s">
        <v>127</v>
      </c>
      <c r="U71" s="13">
        <v>0.78</v>
      </c>
      <c r="V71">
        <f t="shared" si="15"/>
        <v>0.42050000000000004</v>
      </c>
      <c r="W71">
        <f t="shared" si="16"/>
        <v>0.20264681555004135</v>
      </c>
      <c r="X71">
        <f t="shared" si="17"/>
        <v>1.4185277088502894</v>
      </c>
    </row>
    <row r="72" spans="1:24" x14ac:dyDescent="0.25">
      <c r="T72" t="s">
        <v>128</v>
      </c>
      <c r="U72" s="8">
        <v>0.71</v>
      </c>
      <c r="V72">
        <f t="shared" si="15"/>
        <v>0.35049999999999998</v>
      </c>
      <c r="W72">
        <f t="shared" si="16"/>
        <v>0.16129032258064513</v>
      </c>
      <c r="X72">
        <f t="shared" si="17"/>
        <v>1.129032258064516</v>
      </c>
    </row>
    <row r="73" spans="1:24" x14ac:dyDescent="0.25">
      <c r="T73" t="s">
        <v>129</v>
      </c>
      <c r="U73" s="8">
        <v>0.745</v>
      </c>
      <c r="V73">
        <f t="shared" si="15"/>
        <v>0.38550000000000001</v>
      </c>
      <c r="W73">
        <f t="shared" si="16"/>
        <v>0.18196856906534326</v>
      </c>
      <c r="X73">
        <f t="shared" si="17"/>
        <v>1.2737799834574028</v>
      </c>
    </row>
    <row r="74" spans="1:24" x14ac:dyDescent="0.25">
      <c r="T74" t="s">
        <v>130</v>
      </c>
      <c r="U74" s="5">
        <v>0.67600000000000005</v>
      </c>
      <c r="V74">
        <f t="shared" si="15"/>
        <v>0.31650000000000006</v>
      </c>
      <c r="W74">
        <f t="shared" si="16"/>
        <v>0.14120288313836704</v>
      </c>
      <c r="X74">
        <f t="shared" si="17"/>
        <v>0.98842018196856929</v>
      </c>
    </row>
    <row r="75" spans="1:24" x14ac:dyDescent="0.25">
      <c r="T75" t="s">
        <v>131</v>
      </c>
      <c r="U75" s="13">
        <v>0.81200000000000006</v>
      </c>
      <c r="V75">
        <f t="shared" si="15"/>
        <v>0.45250000000000007</v>
      </c>
      <c r="W75">
        <f t="shared" si="16"/>
        <v>0.22155264090747964</v>
      </c>
      <c r="X75">
        <f t="shared" si="17"/>
        <v>1.5508684863523574</v>
      </c>
    </row>
    <row r="76" spans="1:24" x14ac:dyDescent="0.25">
      <c r="T76" t="s">
        <v>132</v>
      </c>
      <c r="U76" s="5">
        <v>0.64600000000000002</v>
      </c>
      <c r="V76">
        <f t="shared" si="15"/>
        <v>0.28650000000000003</v>
      </c>
      <c r="W76">
        <f t="shared" si="16"/>
        <v>0.12347867186576865</v>
      </c>
      <c r="X76">
        <f t="shared" si="17"/>
        <v>0.86435070306038053</v>
      </c>
    </row>
    <row r="77" spans="1:24" x14ac:dyDescent="0.25">
      <c r="T77" t="s">
        <v>9</v>
      </c>
      <c r="U77" s="15">
        <v>0.81699999999999995</v>
      </c>
      <c r="V77">
        <f t="shared" si="15"/>
        <v>0.45749999999999996</v>
      </c>
      <c r="W77">
        <f t="shared" si="16"/>
        <v>0.22450667611957931</v>
      </c>
      <c r="X77">
        <f t="shared" si="17"/>
        <v>1.5715467328370551</v>
      </c>
    </row>
    <row r="78" spans="1:24" x14ac:dyDescent="0.25">
      <c r="T78" t="s">
        <v>133</v>
      </c>
      <c r="U78" s="13">
        <v>0.76</v>
      </c>
      <c r="V78">
        <f t="shared" si="15"/>
        <v>0.40050000000000002</v>
      </c>
      <c r="W78">
        <f t="shared" si="16"/>
        <v>0.19083067470164244</v>
      </c>
      <c r="X78">
        <f t="shared" si="17"/>
        <v>1.3358147229114972</v>
      </c>
    </row>
    <row r="79" spans="1:24" x14ac:dyDescent="0.25">
      <c r="T79" t="s">
        <v>134</v>
      </c>
      <c r="U79" s="8">
        <v>0.69299999999999995</v>
      </c>
      <c r="V79">
        <f t="shared" si="15"/>
        <v>0.33349999999999996</v>
      </c>
      <c r="W79">
        <f t="shared" si="16"/>
        <v>0.15124660285950606</v>
      </c>
      <c r="X79">
        <f t="shared" si="17"/>
        <v>1.0587262200165424</v>
      </c>
    </row>
    <row r="80" spans="1:24" x14ac:dyDescent="0.25">
      <c r="A80">
        <v>3</v>
      </c>
      <c r="J80">
        <v>4</v>
      </c>
      <c r="T80" t="s">
        <v>135</v>
      </c>
      <c r="U80" s="13">
        <v>0.78400000000000003</v>
      </c>
      <c r="V80">
        <f t="shared" si="15"/>
        <v>0.42450000000000004</v>
      </c>
      <c r="W80">
        <f t="shared" si="16"/>
        <v>0.20501004371972115</v>
      </c>
      <c r="X80">
        <f t="shared" si="17"/>
        <v>1.4350703060380481</v>
      </c>
    </row>
    <row r="81" spans="19:24" x14ac:dyDescent="0.25">
      <c r="S81">
        <v>5</v>
      </c>
      <c r="T81" t="s">
        <v>0</v>
      </c>
      <c r="U81" t="s">
        <v>221</v>
      </c>
      <c r="V81" t="s">
        <v>222</v>
      </c>
      <c r="W81" t="s">
        <v>223</v>
      </c>
      <c r="X81" t="s">
        <v>224</v>
      </c>
    </row>
    <row r="82" spans="19:24" x14ac:dyDescent="0.25">
      <c r="T82" t="s">
        <v>118</v>
      </c>
      <c r="U82" s="8">
        <v>0.73899999999999999</v>
      </c>
      <c r="V82">
        <f>U82-P$27</f>
        <v>0.39200000000000002</v>
      </c>
      <c r="W82">
        <f>(V82-0.0666)/1.7871</f>
        <v>0.18208270382183428</v>
      </c>
      <c r="X82">
        <f>W82*7</f>
        <v>1.27457892675284</v>
      </c>
    </row>
    <row r="83" spans="19:24" x14ac:dyDescent="0.25">
      <c r="T83" t="s">
        <v>120</v>
      </c>
      <c r="U83" s="8">
        <v>0.71199999999999997</v>
      </c>
      <c r="V83">
        <f t="shared" ref="V83:V99" si="18">U83-P$27</f>
        <v>0.36499999999999999</v>
      </c>
      <c r="W83">
        <f t="shared" ref="W83:W99" si="19">(V83-0.0666)/1.7871</f>
        <v>0.16697442784399308</v>
      </c>
      <c r="X83">
        <f t="shared" ref="X83:X99" si="20">W83*7</f>
        <v>1.1688209949079515</v>
      </c>
    </row>
    <row r="84" spans="19:24" x14ac:dyDescent="0.25">
      <c r="T84" t="s">
        <v>76</v>
      </c>
      <c r="U84" s="8">
        <v>0.74199999999999999</v>
      </c>
      <c r="V84">
        <f t="shared" si="18"/>
        <v>0.39500000000000002</v>
      </c>
      <c r="W84">
        <f t="shared" si="19"/>
        <v>0.18376140115270553</v>
      </c>
      <c r="X84">
        <f t="shared" si="20"/>
        <v>1.2863298080689387</v>
      </c>
    </row>
    <row r="85" spans="19:24" x14ac:dyDescent="0.25">
      <c r="T85" t="s">
        <v>122</v>
      </c>
      <c r="U85" s="5">
        <v>0.63400000000000001</v>
      </c>
      <c r="V85">
        <f t="shared" si="18"/>
        <v>0.28700000000000003</v>
      </c>
      <c r="W85">
        <f t="shared" si="19"/>
        <v>0.12332829724134074</v>
      </c>
      <c r="X85">
        <f t="shared" si="20"/>
        <v>0.86329808068938518</v>
      </c>
    </row>
    <row r="86" spans="19:24" x14ac:dyDescent="0.25">
      <c r="T86" t="s">
        <v>123</v>
      </c>
      <c r="U86" s="5">
        <v>0.64200000000000002</v>
      </c>
      <c r="V86">
        <f t="shared" si="18"/>
        <v>0.29500000000000004</v>
      </c>
      <c r="W86">
        <f t="shared" si="19"/>
        <v>0.1278048234569974</v>
      </c>
      <c r="X86">
        <f t="shared" si="20"/>
        <v>0.89463376419898177</v>
      </c>
    </row>
    <row r="87" spans="19:24" x14ac:dyDescent="0.25">
      <c r="T87" t="s">
        <v>124</v>
      </c>
      <c r="U87" s="16">
        <v>0.96699999999999997</v>
      </c>
      <c r="V87">
        <f t="shared" si="18"/>
        <v>0.62</v>
      </c>
      <c r="W87">
        <f t="shared" si="19"/>
        <v>0.30966370096804879</v>
      </c>
      <c r="X87">
        <f t="shared" si="20"/>
        <v>2.1676459067763414</v>
      </c>
    </row>
    <row r="88" spans="19:24" x14ac:dyDescent="0.25">
      <c r="T88" t="s">
        <v>125</v>
      </c>
      <c r="U88" s="13">
        <v>0.76</v>
      </c>
      <c r="V88">
        <f t="shared" si="18"/>
        <v>0.41300000000000003</v>
      </c>
      <c r="W88">
        <f t="shared" si="19"/>
        <v>0.193833585137933</v>
      </c>
      <c r="X88">
        <f t="shared" si="20"/>
        <v>1.3568350959655311</v>
      </c>
    </row>
    <row r="89" spans="19:24" x14ac:dyDescent="0.25">
      <c r="T89" t="s">
        <v>126</v>
      </c>
      <c r="U89" s="8">
        <v>0.72199999999999998</v>
      </c>
      <c r="V89">
        <f t="shared" si="18"/>
        <v>0.375</v>
      </c>
      <c r="W89">
        <f t="shared" si="19"/>
        <v>0.17257008561356388</v>
      </c>
      <c r="X89">
        <f t="shared" si="20"/>
        <v>1.2079905992949471</v>
      </c>
    </row>
    <row r="90" spans="19:24" x14ac:dyDescent="0.25">
      <c r="T90" t="s">
        <v>127</v>
      </c>
      <c r="U90" s="15">
        <v>0.82</v>
      </c>
      <c r="V90">
        <f t="shared" si="18"/>
        <v>0.47299999999999998</v>
      </c>
      <c r="W90">
        <f t="shared" si="19"/>
        <v>0.22740753175535786</v>
      </c>
      <c r="X90">
        <f t="shared" si="20"/>
        <v>1.591852722287505</v>
      </c>
    </row>
    <row r="91" spans="19:24" x14ac:dyDescent="0.25">
      <c r="T91" t="s">
        <v>128</v>
      </c>
      <c r="U91" s="8">
        <v>0.73599999999999999</v>
      </c>
      <c r="V91">
        <f t="shared" si="18"/>
        <v>0.38900000000000001</v>
      </c>
      <c r="W91">
        <f t="shared" si="19"/>
        <v>0.18040400649096303</v>
      </c>
      <c r="X91">
        <f t="shared" si="20"/>
        <v>1.2628280454367411</v>
      </c>
    </row>
    <row r="92" spans="19:24" x14ac:dyDescent="0.25">
      <c r="T92" t="s">
        <v>129</v>
      </c>
      <c r="U92" s="8">
        <v>0.71299999999999997</v>
      </c>
      <c r="V92">
        <f t="shared" si="18"/>
        <v>0.36599999999999999</v>
      </c>
      <c r="W92">
        <f t="shared" si="19"/>
        <v>0.16753399362095014</v>
      </c>
      <c r="X92">
        <f t="shared" si="20"/>
        <v>1.172737955346651</v>
      </c>
    </row>
    <row r="93" spans="19:24" x14ac:dyDescent="0.25">
      <c r="T93" t="s">
        <v>130</v>
      </c>
      <c r="U93" s="5">
        <v>0.64200000000000002</v>
      </c>
      <c r="V93">
        <f t="shared" si="18"/>
        <v>0.29500000000000004</v>
      </c>
      <c r="W93">
        <f t="shared" si="19"/>
        <v>0.1278048234569974</v>
      </c>
      <c r="X93">
        <f t="shared" si="20"/>
        <v>0.89463376419898177</v>
      </c>
    </row>
    <row r="94" spans="19:24" x14ac:dyDescent="0.25">
      <c r="T94" t="s">
        <v>131</v>
      </c>
      <c r="U94" s="13">
        <v>0.79700000000000004</v>
      </c>
      <c r="V94">
        <f t="shared" si="18"/>
        <v>0.45000000000000007</v>
      </c>
      <c r="W94">
        <f t="shared" si="19"/>
        <v>0.21453751888534503</v>
      </c>
      <c r="X94">
        <f t="shared" si="20"/>
        <v>1.5017626321974151</v>
      </c>
    </row>
    <row r="95" spans="19:24" x14ac:dyDescent="0.25">
      <c r="T95" t="s">
        <v>132</v>
      </c>
      <c r="U95" s="5">
        <v>0.64700000000000002</v>
      </c>
      <c r="V95">
        <f t="shared" si="18"/>
        <v>0.30000000000000004</v>
      </c>
      <c r="W95">
        <f t="shared" si="19"/>
        <v>0.13060265234178281</v>
      </c>
      <c r="X95">
        <f t="shared" si="20"/>
        <v>0.91421856639247967</v>
      </c>
    </row>
    <row r="96" spans="19:24" x14ac:dyDescent="0.25">
      <c r="T96" t="s">
        <v>9</v>
      </c>
      <c r="U96" s="15">
        <v>0.85099999999999998</v>
      </c>
      <c r="V96">
        <f t="shared" si="18"/>
        <v>0.504</v>
      </c>
      <c r="W96">
        <f t="shared" si="19"/>
        <v>0.24475407084102738</v>
      </c>
      <c r="X96">
        <f t="shared" si="20"/>
        <v>1.7132784958871916</v>
      </c>
    </row>
    <row r="97" spans="1:24" x14ac:dyDescent="0.25">
      <c r="A97">
        <v>5</v>
      </c>
      <c r="J97">
        <v>6</v>
      </c>
      <c r="T97" t="s">
        <v>133</v>
      </c>
      <c r="U97" s="13">
        <v>0.753</v>
      </c>
      <c r="V97">
        <f t="shared" si="18"/>
        <v>0.40600000000000003</v>
      </c>
      <c r="W97">
        <f t="shared" si="19"/>
        <v>0.18991662469923343</v>
      </c>
      <c r="X97">
        <f t="shared" si="20"/>
        <v>1.329416372894634</v>
      </c>
    </row>
    <row r="98" spans="1:24" x14ac:dyDescent="0.25">
      <c r="T98" t="s">
        <v>134</v>
      </c>
      <c r="U98" s="5">
        <v>0.67900000000000005</v>
      </c>
      <c r="V98">
        <f t="shared" si="18"/>
        <v>0.33200000000000007</v>
      </c>
      <c r="W98">
        <f t="shared" si="19"/>
        <v>0.14850875720440943</v>
      </c>
      <c r="X98">
        <f t="shared" si="20"/>
        <v>1.0395613004308659</v>
      </c>
    </row>
    <row r="99" spans="1:24" x14ac:dyDescent="0.25">
      <c r="T99" t="s">
        <v>135</v>
      </c>
      <c r="U99" s="15">
        <v>0.82499999999999996</v>
      </c>
      <c r="V99">
        <f t="shared" si="18"/>
        <v>0.47799999999999998</v>
      </c>
      <c r="W99">
        <f t="shared" si="19"/>
        <v>0.23020536064014324</v>
      </c>
      <c r="X99">
        <f t="shared" si="20"/>
        <v>1.6114375244810026</v>
      </c>
    </row>
    <row r="100" spans="1:24" x14ac:dyDescent="0.25">
      <c r="S100">
        <v>6</v>
      </c>
      <c r="T100" t="s">
        <v>0</v>
      </c>
      <c r="U100" t="s">
        <v>221</v>
      </c>
      <c r="V100" t="s">
        <v>222</v>
      </c>
      <c r="W100" t="s">
        <v>223</v>
      </c>
      <c r="X100" t="s">
        <v>224</v>
      </c>
    </row>
    <row r="101" spans="1:24" x14ac:dyDescent="0.25">
      <c r="T101" t="s">
        <v>118</v>
      </c>
      <c r="U101" s="8">
        <v>0.754</v>
      </c>
      <c r="V101">
        <f>U101-P$33</f>
        <v>0.40150000000000002</v>
      </c>
      <c r="W101">
        <f>(V101-0.0678)/1.7695</f>
        <v>0.18858434586041253</v>
      </c>
      <c r="X101">
        <f>W101*7</f>
        <v>1.3200904210228877</v>
      </c>
    </row>
    <row r="102" spans="1:24" x14ac:dyDescent="0.25">
      <c r="T102" t="s">
        <v>120</v>
      </c>
      <c r="U102" s="8">
        <v>0.71</v>
      </c>
      <c r="V102">
        <f t="shared" ref="V102:V118" si="21">U102-P$33</f>
        <v>0.35749999999999998</v>
      </c>
      <c r="W102">
        <f t="shared" ref="W102:W118" si="22">(V102-0.0678)/1.7695</f>
        <v>0.16371856456626163</v>
      </c>
      <c r="X102">
        <f t="shared" ref="X102:X118" si="23">W102*7</f>
        <v>1.1460299519638315</v>
      </c>
    </row>
    <row r="103" spans="1:24" x14ac:dyDescent="0.25">
      <c r="T103" t="s">
        <v>76</v>
      </c>
      <c r="U103" s="8">
        <v>0.74399999999999999</v>
      </c>
      <c r="V103">
        <f t="shared" si="21"/>
        <v>0.39150000000000001</v>
      </c>
      <c r="W103">
        <f t="shared" si="22"/>
        <v>0.18293303192992369</v>
      </c>
      <c r="X103">
        <f t="shared" si="23"/>
        <v>1.2805312235094659</v>
      </c>
    </row>
    <row r="104" spans="1:24" x14ac:dyDescent="0.25">
      <c r="T104" t="s">
        <v>122</v>
      </c>
      <c r="U104" s="5">
        <v>0.66500000000000004</v>
      </c>
      <c r="V104">
        <f t="shared" si="21"/>
        <v>0.31250000000000006</v>
      </c>
      <c r="W104">
        <f t="shared" si="22"/>
        <v>0.13828765187906192</v>
      </c>
      <c r="X104">
        <f t="shared" si="23"/>
        <v>0.96801356315343345</v>
      </c>
    </row>
    <row r="105" spans="1:24" x14ac:dyDescent="0.25">
      <c r="T105" t="s">
        <v>123</v>
      </c>
      <c r="U105" s="5">
        <v>0.66</v>
      </c>
      <c r="V105">
        <f t="shared" si="21"/>
        <v>0.30750000000000005</v>
      </c>
      <c r="W105">
        <f t="shared" si="22"/>
        <v>0.1354619949138175</v>
      </c>
      <c r="X105">
        <f t="shared" si="23"/>
        <v>0.94823396439672247</v>
      </c>
    </row>
    <row r="106" spans="1:24" x14ac:dyDescent="0.25">
      <c r="T106" t="s">
        <v>124</v>
      </c>
      <c r="U106" s="15">
        <v>0.85099999999999998</v>
      </c>
      <c r="V106">
        <f t="shared" si="21"/>
        <v>0.4985</v>
      </c>
      <c r="W106">
        <f t="shared" si="22"/>
        <v>0.24340209098615426</v>
      </c>
      <c r="X106">
        <f t="shared" si="23"/>
        <v>1.7038146369030798</v>
      </c>
    </row>
    <row r="107" spans="1:24" x14ac:dyDescent="0.25">
      <c r="T107" t="s">
        <v>125</v>
      </c>
      <c r="U107" s="13">
        <v>0.79600000000000004</v>
      </c>
      <c r="V107">
        <f t="shared" si="21"/>
        <v>0.44350000000000006</v>
      </c>
      <c r="W107">
        <f t="shared" si="22"/>
        <v>0.21231986436846567</v>
      </c>
      <c r="X107">
        <f t="shared" si="23"/>
        <v>1.4862390505792598</v>
      </c>
    </row>
    <row r="108" spans="1:24" x14ac:dyDescent="0.25">
      <c r="T108" t="s">
        <v>126</v>
      </c>
      <c r="U108" s="8">
        <v>0.71599999999999997</v>
      </c>
      <c r="V108">
        <f t="shared" si="21"/>
        <v>0.36349999999999999</v>
      </c>
      <c r="W108">
        <f t="shared" si="22"/>
        <v>0.16710935292455492</v>
      </c>
      <c r="X108">
        <f t="shared" si="23"/>
        <v>1.1697654704718845</v>
      </c>
    </row>
    <row r="109" spans="1:24" x14ac:dyDescent="0.25">
      <c r="T109" t="s">
        <v>127</v>
      </c>
      <c r="U109" s="15">
        <v>0.85299999999999998</v>
      </c>
      <c r="V109">
        <f t="shared" si="21"/>
        <v>0.50049999999999994</v>
      </c>
      <c r="W109">
        <f t="shared" si="22"/>
        <v>0.24453235377225202</v>
      </c>
      <c r="X109">
        <f t="shared" si="23"/>
        <v>1.7117264764057643</v>
      </c>
    </row>
    <row r="110" spans="1:24" x14ac:dyDescent="0.25">
      <c r="T110" t="s">
        <v>128</v>
      </c>
      <c r="U110" s="8">
        <v>0.73099999999999998</v>
      </c>
      <c r="V110">
        <f t="shared" si="21"/>
        <v>0.3785</v>
      </c>
      <c r="W110">
        <f t="shared" si="22"/>
        <v>0.17558632382028819</v>
      </c>
      <c r="X110">
        <f t="shared" si="23"/>
        <v>1.2291042667420173</v>
      </c>
    </row>
    <row r="111" spans="1:24" x14ac:dyDescent="0.25">
      <c r="T111" t="s">
        <v>129</v>
      </c>
      <c r="U111" s="8">
        <v>0.72199999999999998</v>
      </c>
      <c r="V111">
        <f t="shared" si="21"/>
        <v>0.3695</v>
      </c>
      <c r="W111">
        <f t="shared" si="22"/>
        <v>0.17050014128284824</v>
      </c>
      <c r="X111">
        <f t="shared" si="23"/>
        <v>1.1935009889799377</v>
      </c>
    </row>
    <row r="112" spans="1:24" x14ac:dyDescent="0.25">
      <c r="T112" t="s">
        <v>130</v>
      </c>
      <c r="U112" s="5">
        <v>0.624</v>
      </c>
      <c r="V112">
        <f t="shared" si="21"/>
        <v>0.27150000000000002</v>
      </c>
      <c r="W112">
        <f t="shared" si="22"/>
        <v>0.11511726476405765</v>
      </c>
      <c r="X112">
        <f t="shared" si="23"/>
        <v>0.80582085334840348</v>
      </c>
    </row>
    <row r="113" spans="20:24" x14ac:dyDescent="0.25">
      <c r="T113" t="s">
        <v>131</v>
      </c>
      <c r="U113" s="15">
        <v>0.82799999999999996</v>
      </c>
      <c r="V113">
        <f t="shared" si="21"/>
        <v>0.47549999999999998</v>
      </c>
      <c r="W113">
        <f t="shared" si="22"/>
        <v>0.23040406894602991</v>
      </c>
      <c r="X113">
        <f t="shared" si="23"/>
        <v>1.6128284826222095</v>
      </c>
    </row>
    <row r="114" spans="20:24" x14ac:dyDescent="0.25">
      <c r="T114" t="s">
        <v>132</v>
      </c>
      <c r="U114" s="5">
        <v>0.63300000000000001</v>
      </c>
      <c r="V114">
        <f t="shared" si="21"/>
        <v>0.28050000000000003</v>
      </c>
      <c r="W114">
        <f t="shared" si="22"/>
        <v>0.12020344730149761</v>
      </c>
      <c r="X114">
        <f t="shared" si="23"/>
        <v>0.84142413111048331</v>
      </c>
    </row>
    <row r="115" spans="20:24" x14ac:dyDescent="0.25">
      <c r="T115" t="s">
        <v>9</v>
      </c>
      <c r="U115" s="15">
        <v>0.84599999999999997</v>
      </c>
      <c r="V115">
        <f t="shared" si="21"/>
        <v>0.49349999999999999</v>
      </c>
      <c r="W115">
        <f t="shared" si="22"/>
        <v>0.24057643402090984</v>
      </c>
      <c r="X115">
        <f t="shared" si="23"/>
        <v>1.6840350381463689</v>
      </c>
    </row>
    <row r="116" spans="20:24" x14ac:dyDescent="0.25">
      <c r="T116" t="s">
        <v>133</v>
      </c>
      <c r="U116" s="8">
        <v>0.72</v>
      </c>
      <c r="V116">
        <f t="shared" si="21"/>
        <v>0.36749999999999999</v>
      </c>
      <c r="W116">
        <f t="shared" si="22"/>
        <v>0.16936987849675048</v>
      </c>
      <c r="X116">
        <f t="shared" si="23"/>
        <v>1.1855891494772532</v>
      </c>
    </row>
    <row r="117" spans="20:24" x14ac:dyDescent="0.25">
      <c r="T117" t="s">
        <v>134</v>
      </c>
      <c r="U117" s="5">
        <v>0.68100000000000005</v>
      </c>
      <c r="V117">
        <f t="shared" si="21"/>
        <v>0.32850000000000007</v>
      </c>
      <c r="W117">
        <f t="shared" si="22"/>
        <v>0.14732975416784405</v>
      </c>
      <c r="X117">
        <f t="shared" si="23"/>
        <v>1.0313082791749084</v>
      </c>
    </row>
    <row r="118" spans="20:24" x14ac:dyDescent="0.25">
      <c r="T118" t="s">
        <v>135</v>
      </c>
      <c r="U118" s="8">
        <v>0.74299999999999999</v>
      </c>
      <c r="V118">
        <f t="shared" si="21"/>
        <v>0.39050000000000001</v>
      </c>
      <c r="W118">
        <f t="shared" si="22"/>
        <v>0.18236790053687482</v>
      </c>
      <c r="X118">
        <f t="shared" si="23"/>
        <v>1.2765753037581238</v>
      </c>
    </row>
  </sheetData>
  <mergeCells count="2">
    <mergeCell ref="O1:Q1"/>
    <mergeCell ref="T1:W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6531-ED64-45F3-9A9C-0CEF9503C9C7}">
  <dimension ref="A1:Y127"/>
  <sheetViews>
    <sheetView topLeftCell="N1" workbookViewId="0">
      <selection activeCell="U3" sqref="U3:U22"/>
    </sheetView>
  </sheetViews>
  <sheetFormatPr defaultRowHeight="15" x14ac:dyDescent="0.25"/>
  <cols>
    <col min="16" max="16" width="9" customWidth="1"/>
    <col min="17" max="17" width="19" customWidth="1"/>
    <col min="18" max="18" width="17.7109375" customWidth="1"/>
    <col min="21" max="21" width="14.5703125" customWidth="1"/>
    <col min="22" max="22" width="16.7109375" customWidth="1"/>
    <col min="23" max="23" width="25" customWidth="1"/>
    <col min="24" max="24" width="22.7109375" customWidth="1"/>
    <col min="25" max="25" width="21.85546875" customWidth="1"/>
  </cols>
  <sheetData>
    <row r="1" spans="1:25" x14ac:dyDescent="0.25">
      <c r="A1">
        <v>1</v>
      </c>
      <c r="P1" s="96" t="s">
        <v>217</v>
      </c>
      <c r="Q1" s="96"/>
      <c r="R1" s="96"/>
      <c r="U1" s="96" t="s">
        <v>218</v>
      </c>
      <c r="V1" s="96"/>
      <c r="W1" s="96"/>
      <c r="X1" s="96"/>
    </row>
    <row r="2" spans="1:25" x14ac:dyDescent="0.25">
      <c r="A2" s="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O2">
        <v>1</v>
      </c>
      <c r="Q2" t="s">
        <v>219</v>
      </c>
      <c r="R2" t="s">
        <v>220</v>
      </c>
      <c r="T2">
        <v>1</v>
      </c>
      <c r="U2" t="s">
        <v>0</v>
      </c>
      <c r="V2" t="s">
        <v>221</v>
      </c>
      <c r="W2" t="s">
        <v>222</v>
      </c>
      <c r="X2" t="s">
        <v>223</v>
      </c>
      <c r="Y2" t="s">
        <v>224</v>
      </c>
    </row>
    <row r="3" spans="1:25" x14ac:dyDescent="0.25">
      <c r="A3" s="2" t="s">
        <v>118</v>
      </c>
      <c r="B3" s="3">
        <v>0.377</v>
      </c>
      <c r="C3" s="3">
        <v>0.33700000000000002</v>
      </c>
      <c r="D3" s="4"/>
      <c r="E3" s="6">
        <v>0.67700000000000005</v>
      </c>
      <c r="F3" s="6">
        <v>0.67200000000000004</v>
      </c>
      <c r="G3" s="7">
        <v>0.60599999999999998</v>
      </c>
      <c r="H3" s="9">
        <v>0.50900000000000001</v>
      </c>
      <c r="I3" s="8">
        <v>0.85799999999999998</v>
      </c>
      <c r="J3" s="7">
        <v>0.52400000000000002</v>
      </c>
      <c r="K3" s="6">
        <v>0.70399999999999996</v>
      </c>
      <c r="L3" s="7">
        <v>0.55400000000000005</v>
      </c>
      <c r="M3" s="6">
        <v>0.65</v>
      </c>
      <c r="P3">
        <v>0</v>
      </c>
      <c r="Q3">
        <f>AVERAGE(B3:C3)</f>
        <v>0.35699999999999998</v>
      </c>
      <c r="R3">
        <f>Q3-Q$3</f>
        <v>0</v>
      </c>
      <c r="U3" s="82" t="s">
        <v>136</v>
      </c>
      <c r="V3" s="6">
        <v>0.67700000000000005</v>
      </c>
      <c r="W3">
        <f>V3-Q$3</f>
        <v>0.32000000000000006</v>
      </c>
      <c r="X3">
        <f>(W3+0.0066)/2.3929</f>
        <v>0.13648710769359357</v>
      </c>
      <c r="Y3">
        <f>X3*7</f>
        <v>0.95540975385515492</v>
      </c>
    </row>
    <row r="4" spans="1:25" x14ac:dyDescent="0.25">
      <c r="A4" s="2" t="s">
        <v>120</v>
      </c>
      <c r="B4" s="9">
        <v>0.45900000000000002</v>
      </c>
      <c r="C4" s="9">
        <v>0.48699999999999999</v>
      </c>
      <c r="D4" s="4"/>
      <c r="E4" s="4"/>
      <c r="F4" s="4"/>
      <c r="G4" s="4"/>
      <c r="H4" s="4"/>
      <c r="I4" s="4"/>
      <c r="J4" s="4"/>
      <c r="K4" s="4"/>
      <c r="L4" s="4"/>
      <c r="M4" s="4"/>
      <c r="P4">
        <v>0.05</v>
      </c>
      <c r="Q4">
        <f>AVERAGE(B4:C4)</f>
        <v>0.47299999999999998</v>
      </c>
      <c r="R4">
        <f t="shared" ref="R4:R7" si="0">Q4-Q$3</f>
        <v>0.11599999999999999</v>
      </c>
      <c r="U4" s="82" t="s">
        <v>138</v>
      </c>
      <c r="V4" s="6">
        <v>0.67200000000000004</v>
      </c>
      <c r="W4">
        <f t="shared" ref="W4:W22" si="1">V4-Q$3</f>
        <v>0.31500000000000006</v>
      </c>
      <c r="X4">
        <f t="shared" ref="X4:X22" si="2">(W4+0.0066)/2.3929</f>
        <v>0.13439759287893352</v>
      </c>
      <c r="Y4">
        <f t="shared" ref="Y4:Y22" si="3">X4*7</f>
        <v>0.94078315015253466</v>
      </c>
    </row>
    <row r="5" spans="1:25" x14ac:dyDescent="0.25">
      <c r="A5" s="2" t="s">
        <v>76</v>
      </c>
      <c r="B5" s="4"/>
      <c r="C5" s="4"/>
      <c r="D5" s="4"/>
      <c r="E5" s="9">
        <v>0.47799999999999998</v>
      </c>
      <c r="F5" s="7">
        <v>0.56499999999999995</v>
      </c>
      <c r="G5" s="7">
        <v>0.54900000000000004</v>
      </c>
      <c r="H5" s="7">
        <v>0.59</v>
      </c>
      <c r="I5" s="9">
        <v>0.48899999999999999</v>
      </c>
      <c r="J5" s="7">
        <v>0.53100000000000003</v>
      </c>
      <c r="K5" s="6">
        <v>0.65200000000000002</v>
      </c>
      <c r="L5" s="7">
        <v>0.58699999999999997</v>
      </c>
      <c r="M5" s="7">
        <v>0.52900000000000003</v>
      </c>
      <c r="P5">
        <v>0.1</v>
      </c>
      <c r="Q5">
        <f>AVERAGE(B6:C6)</f>
        <v>0.63500000000000001</v>
      </c>
      <c r="R5">
        <f t="shared" si="0"/>
        <v>0.27800000000000002</v>
      </c>
      <c r="U5" s="82" t="s">
        <v>139</v>
      </c>
      <c r="V5" s="7">
        <v>0.60599999999999998</v>
      </c>
      <c r="W5">
        <f t="shared" si="1"/>
        <v>0.249</v>
      </c>
      <c r="X5">
        <f t="shared" si="2"/>
        <v>0.10681599732542103</v>
      </c>
      <c r="Y5">
        <f t="shared" si="3"/>
        <v>0.74771198127794725</v>
      </c>
    </row>
    <row r="6" spans="1:25" x14ac:dyDescent="0.25">
      <c r="A6" s="2" t="s">
        <v>121</v>
      </c>
      <c r="B6" s="7">
        <v>0.59199999999999997</v>
      </c>
      <c r="C6" s="6">
        <v>0.67800000000000005</v>
      </c>
      <c r="D6" s="4"/>
      <c r="E6" s="4"/>
      <c r="F6" s="4"/>
      <c r="G6" s="4"/>
      <c r="H6" s="4"/>
      <c r="I6" s="4"/>
      <c r="J6" s="4"/>
      <c r="K6" s="4"/>
      <c r="L6" s="4"/>
      <c r="M6" s="4"/>
      <c r="P6">
        <v>0.25</v>
      </c>
      <c r="Q6">
        <f>AVERAGE(B8:C8)</f>
        <v>0.85749999999999993</v>
      </c>
      <c r="R6">
        <f t="shared" si="0"/>
        <v>0.50049999999999994</v>
      </c>
      <c r="U6" s="82" t="s">
        <v>140</v>
      </c>
      <c r="V6" s="9">
        <v>0.50900000000000001</v>
      </c>
      <c r="W6">
        <f t="shared" si="1"/>
        <v>0.15200000000000002</v>
      </c>
      <c r="X6">
        <f t="shared" si="2"/>
        <v>6.6279409921016344E-2</v>
      </c>
      <c r="Y6">
        <f t="shared" si="3"/>
        <v>0.46395586944711442</v>
      </c>
    </row>
    <row r="7" spans="1:25" x14ac:dyDescent="0.25">
      <c r="A7" s="2" t="s">
        <v>122</v>
      </c>
      <c r="B7" s="4"/>
      <c r="C7" s="4"/>
      <c r="D7" s="4"/>
      <c r="E7" s="7">
        <v>0.58599999999999997</v>
      </c>
      <c r="F7" s="7">
        <v>0.53100000000000003</v>
      </c>
      <c r="G7" s="4"/>
      <c r="H7" s="4"/>
      <c r="I7" s="4"/>
      <c r="J7" s="4"/>
      <c r="K7" s="4"/>
      <c r="L7" s="4"/>
      <c r="M7" s="4"/>
      <c r="P7">
        <v>0.5</v>
      </c>
      <c r="Q7">
        <f>AVERAGE(B10:C10)</f>
        <v>1.583</v>
      </c>
      <c r="R7">
        <f t="shared" si="0"/>
        <v>1.226</v>
      </c>
      <c r="U7" s="82" t="s">
        <v>141</v>
      </c>
      <c r="V7" s="8">
        <v>0.85799999999999998</v>
      </c>
      <c r="W7">
        <f t="shared" si="1"/>
        <v>0.501</v>
      </c>
      <c r="X7">
        <f t="shared" si="2"/>
        <v>0.21212754398428688</v>
      </c>
      <c r="Y7">
        <f t="shared" si="3"/>
        <v>1.4848928078900081</v>
      </c>
    </row>
    <row r="8" spans="1:25" x14ac:dyDescent="0.25">
      <c r="A8" s="2" t="s">
        <v>123</v>
      </c>
      <c r="B8" s="8">
        <v>0.82499999999999996</v>
      </c>
      <c r="C8" s="8">
        <v>0.89</v>
      </c>
      <c r="D8" s="4"/>
      <c r="E8" s="4"/>
      <c r="F8" s="4"/>
      <c r="G8" s="4"/>
      <c r="H8" s="4"/>
      <c r="I8" s="4"/>
      <c r="J8" s="4"/>
      <c r="K8" s="4"/>
      <c r="L8" s="4"/>
      <c r="M8" s="4"/>
      <c r="O8">
        <v>2</v>
      </c>
      <c r="U8" s="82" t="s">
        <v>142</v>
      </c>
      <c r="V8" s="7">
        <v>0.52400000000000002</v>
      </c>
      <c r="W8">
        <f t="shared" si="1"/>
        <v>0.16700000000000004</v>
      </c>
      <c r="X8">
        <f t="shared" si="2"/>
        <v>7.2547954364996461E-2</v>
      </c>
      <c r="Y8">
        <f t="shared" si="3"/>
        <v>0.50783568055497519</v>
      </c>
    </row>
    <row r="9" spans="1:25" x14ac:dyDescent="0.25">
      <c r="A9" s="2" t="s">
        <v>124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P9">
        <v>0</v>
      </c>
      <c r="Q9">
        <f>AVERAGE(B13:C13)</f>
        <v>0.38950000000000001</v>
      </c>
      <c r="R9">
        <f>Q9-Q$9</f>
        <v>0</v>
      </c>
      <c r="U9" s="82" t="s">
        <v>143</v>
      </c>
      <c r="V9" s="6">
        <v>0.70399999999999996</v>
      </c>
      <c r="W9">
        <f t="shared" si="1"/>
        <v>0.34699999999999998</v>
      </c>
      <c r="X9">
        <f t="shared" si="2"/>
        <v>0.14777048769275772</v>
      </c>
      <c r="Y9">
        <f t="shared" si="3"/>
        <v>1.0343934138493041</v>
      </c>
    </row>
    <row r="10" spans="1:25" x14ac:dyDescent="0.25">
      <c r="A10" s="2" t="s">
        <v>125</v>
      </c>
      <c r="B10" s="11">
        <v>1.6419999999999999</v>
      </c>
      <c r="C10" s="14">
        <v>1.524</v>
      </c>
      <c r="D10" s="4"/>
      <c r="E10" s="4"/>
      <c r="F10" s="4"/>
      <c r="G10" s="4"/>
      <c r="H10" s="4"/>
      <c r="I10" s="4"/>
      <c r="J10" s="4"/>
      <c r="K10" s="4"/>
      <c r="L10" s="4"/>
      <c r="M10" s="4"/>
      <c r="P10">
        <v>0.05</v>
      </c>
      <c r="Q10">
        <f>AVERAGE(B14:C14)</f>
        <v>0.46450000000000002</v>
      </c>
      <c r="R10">
        <f t="shared" ref="R10:R13" si="4">Q10-Q$9</f>
        <v>7.5000000000000011E-2</v>
      </c>
      <c r="U10" s="82" t="s">
        <v>144</v>
      </c>
      <c r="V10" s="7">
        <v>0.55400000000000005</v>
      </c>
      <c r="W10">
        <f t="shared" si="1"/>
        <v>0.19700000000000006</v>
      </c>
      <c r="X10">
        <f t="shared" si="2"/>
        <v>8.5085043252956682E-2</v>
      </c>
      <c r="Y10">
        <f t="shared" si="3"/>
        <v>0.59559530277069683</v>
      </c>
    </row>
    <row r="11" spans="1:25" x14ac:dyDescent="0.25">
      <c r="A11">
        <v>2</v>
      </c>
      <c r="P11">
        <v>0.1</v>
      </c>
      <c r="Q11">
        <f>AVERAGE(B16:C16)</f>
        <v>0.53449999999999998</v>
      </c>
      <c r="R11">
        <f t="shared" si="4"/>
        <v>0.14499999999999996</v>
      </c>
      <c r="U11" s="82" t="s">
        <v>145</v>
      </c>
      <c r="V11" s="6">
        <v>0.65</v>
      </c>
      <c r="W11">
        <f t="shared" si="1"/>
        <v>0.29300000000000004</v>
      </c>
      <c r="X11">
        <f t="shared" si="2"/>
        <v>0.12520372769442936</v>
      </c>
      <c r="Y11">
        <f t="shared" si="3"/>
        <v>0.87642609386100556</v>
      </c>
    </row>
    <row r="12" spans="1:25" x14ac:dyDescent="0.25">
      <c r="A12" s="12"/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P12">
        <v>0.25</v>
      </c>
      <c r="Q12">
        <f>AVERAGE(B18:C18)</f>
        <v>0.87650000000000006</v>
      </c>
      <c r="R12">
        <f t="shared" si="4"/>
        <v>0.48700000000000004</v>
      </c>
      <c r="U12" s="82" t="s">
        <v>146</v>
      </c>
      <c r="V12" s="9">
        <v>0.47799999999999998</v>
      </c>
      <c r="W12">
        <f t="shared" si="1"/>
        <v>0.121</v>
      </c>
      <c r="X12">
        <f t="shared" si="2"/>
        <v>5.3324418070124113E-2</v>
      </c>
      <c r="Y12">
        <f t="shared" si="3"/>
        <v>0.37327092649086879</v>
      </c>
    </row>
    <row r="13" spans="1:25" x14ac:dyDescent="0.25">
      <c r="A13" s="2" t="s">
        <v>118</v>
      </c>
      <c r="B13" s="3">
        <v>0.39100000000000001</v>
      </c>
      <c r="C13" s="3">
        <v>0.38800000000000001</v>
      </c>
      <c r="D13" s="4"/>
      <c r="E13" s="7">
        <v>0.61799999999999999</v>
      </c>
      <c r="F13" s="9">
        <v>0.54800000000000004</v>
      </c>
      <c r="G13" s="7">
        <v>0.57599999999999996</v>
      </c>
      <c r="H13" s="9">
        <v>0.48699999999999999</v>
      </c>
      <c r="I13" s="7">
        <v>0.61199999999999999</v>
      </c>
      <c r="J13" s="9">
        <v>0.53800000000000003</v>
      </c>
      <c r="K13" s="7">
        <v>0.622</v>
      </c>
      <c r="L13" s="6">
        <v>0.69299999999999995</v>
      </c>
      <c r="M13" s="5">
        <v>0.75800000000000001</v>
      </c>
      <c r="P13">
        <v>0.5</v>
      </c>
      <c r="Q13">
        <f>AVERAGE(B20:C20)</f>
        <v>1.548</v>
      </c>
      <c r="R13">
        <f t="shared" si="4"/>
        <v>1.1585000000000001</v>
      </c>
      <c r="U13" s="82" t="s">
        <v>147</v>
      </c>
      <c r="V13" s="7">
        <v>0.56499999999999995</v>
      </c>
      <c r="W13">
        <f t="shared" si="1"/>
        <v>0.20799999999999996</v>
      </c>
      <c r="X13">
        <f t="shared" si="2"/>
        <v>8.968197584520872E-2</v>
      </c>
      <c r="Y13">
        <f t="shared" si="3"/>
        <v>0.627773830916461</v>
      </c>
    </row>
    <row r="14" spans="1:25" x14ac:dyDescent="0.25">
      <c r="A14" s="2" t="s">
        <v>120</v>
      </c>
      <c r="B14" s="3">
        <v>0.47099999999999997</v>
      </c>
      <c r="C14" s="3">
        <v>0.45800000000000002</v>
      </c>
      <c r="D14" s="4"/>
      <c r="E14" s="4"/>
      <c r="F14" s="4"/>
      <c r="G14" s="4"/>
      <c r="H14" s="4"/>
      <c r="I14" s="4"/>
      <c r="J14" s="4"/>
      <c r="K14" s="4"/>
      <c r="L14" s="4"/>
      <c r="M14" s="4"/>
      <c r="O14">
        <v>3</v>
      </c>
      <c r="U14" s="82" t="s">
        <v>148</v>
      </c>
      <c r="V14" s="7">
        <v>0.54900000000000004</v>
      </c>
      <c r="W14">
        <f t="shared" si="1"/>
        <v>0.19200000000000006</v>
      </c>
      <c r="X14">
        <f t="shared" si="2"/>
        <v>8.2995528438296648E-2</v>
      </c>
      <c r="Y14">
        <f t="shared" si="3"/>
        <v>0.58096869906807658</v>
      </c>
    </row>
    <row r="15" spans="1:25" x14ac:dyDescent="0.25">
      <c r="A15" s="2" t="s">
        <v>76</v>
      </c>
      <c r="B15" s="4"/>
      <c r="C15" s="4"/>
      <c r="D15" s="4"/>
      <c r="E15" s="9">
        <v>0.504</v>
      </c>
      <c r="F15" s="9">
        <v>0.53600000000000003</v>
      </c>
      <c r="G15" s="9">
        <v>0.55500000000000005</v>
      </c>
      <c r="H15" s="7">
        <v>0.628</v>
      </c>
      <c r="I15" s="3">
        <v>0.47299999999999998</v>
      </c>
      <c r="J15" s="7">
        <v>0.57299999999999995</v>
      </c>
      <c r="K15" s="7">
        <v>0.61499999999999999</v>
      </c>
      <c r="L15" s="7">
        <v>0.61299999999999999</v>
      </c>
      <c r="M15" s="9">
        <v>0.501</v>
      </c>
      <c r="P15">
        <v>0</v>
      </c>
      <c r="Q15">
        <f>AVERAGE(B23:C23)</f>
        <v>0.38350000000000001</v>
      </c>
      <c r="R15">
        <f>Q15-Q$15</f>
        <v>0</v>
      </c>
      <c r="U15" s="82" t="s">
        <v>149</v>
      </c>
      <c r="V15" s="7">
        <v>0.59</v>
      </c>
      <c r="W15">
        <f t="shared" si="1"/>
        <v>0.23299999999999998</v>
      </c>
      <c r="X15">
        <f t="shared" si="2"/>
        <v>0.10012954991850891</v>
      </c>
      <c r="Y15">
        <f t="shared" si="3"/>
        <v>0.70090684942956238</v>
      </c>
    </row>
    <row r="16" spans="1:25" x14ac:dyDescent="0.25">
      <c r="A16" s="2" t="s">
        <v>121</v>
      </c>
      <c r="B16" s="9">
        <v>0.55600000000000005</v>
      </c>
      <c r="C16" s="9">
        <v>0.51300000000000001</v>
      </c>
      <c r="D16" s="4"/>
      <c r="E16" s="4"/>
      <c r="F16" s="4"/>
      <c r="G16" s="4"/>
      <c r="H16" s="4"/>
      <c r="I16" s="4"/>
      <c r="J16" s="4"/>
      <c r="K16" s="4"/>
      <c r="L16" s="4"/>
      <c r="M16" s="4"/>
      <c r="P16">
        <v>0.05</v>
      </c>
      <c r="Q16">
        <f>AVERAGE(B24:C24)</f>
        <v>0.46650000000000003</v>
      </c>
      <c r="R16">
        <f t="shared" ref="R16:R19" si="5">Q16-Q$15</f>
        <v>8.3000000000000018E-2</v>
      </c>
      <c r="U16" s="82" t="s">
        <v>150</v>
      </c>
      <c r="V16" s="9">
        <v>0.48899999999999999</v>
      </c>
      <c r="W16">
        <f t="shared" si="1"/>
        <v>0.13200000000000001</v>
      </c>
      <c r="X16">
        <f t="shared" si="2"/>
        <v>5.7921350662376199E-2</v>
      </c>
      <c r="Y16">
        <f t="shared" si="3"/>
        <v>0.4054494546366334</v>
      </c>
    </row>
    <row r="17" spans="1:25" x14ac:dyDescent="0.25">
      <c r="A17" s="2" t="s">
        <v>122</v>
      </c>
      <c r="B17" s="4"/>
      <c r="C17" s="4"/>
      <c r="D17" s="4"/>
      <c r="E17" s="7">
        <v>0.59599999999999997</v>
      </c>
      <c r="F17" s="7">
        <v>0.58699999999999997</v>
      </c>
      <c r="G17" s="4"/>
      <c r="H17" s="4"/>
      <c r="I17" s="4"/>
      <c r="J17" s="4"/>
      <c r="K17" s="4"/>
      <c r="L17" s="4"/>
      <c r="M17" s="4"/>
      <c r="P17">
        <v>0.1</v>
      </c>
      <c r="Q17">
        <f>AVERAGE(B26:C26)</f>
        <v>0.58099999999999996</v>
      </c>
      <c r="R17">
        <f t="shared" si="5"/>
        <v>0.19749999999999995</v>
      </c>
      <c r="U17" s="82" t="s">
        <v>151</v>
      </c>
      <c r="V17" s="7">
        <v>0.53100000000000003</v>
      </c>
      <c r="W17">
        <f t="shared" si="1"/>
        <v>0.17400000000000004</v>
      </c>
      <c r="X17">
        <f t="shared" si="2"/>
        <v>7.5473275105520515E-2</v>
      </c>
      <c r="Y17">
        <f t="shared" si="3"/>
        <v>0.52831292573864364</v>
      </c>
    </row>
    <row r="18" spans="1:25" x14ac:dyDescent="0.25">
      <c r="A18" s="2" t="s">
        <v>123</v>
      </c>
      <c r="B18" s="8">
        <v>0.88800000000000001</v>
      </c>
      <c r="C18" s="8">
        <v>0.86499999999999999</v>
      </c>
      <c r="D18" s="4"/>
      <c r="E18" s="4"/>
      <c r="F18" s="4"/>
      <c r="G18" s="4"/>
      <c r="H18" s="4"/>
      <c r="I18" s="4"/>
      <c r="J18" s="4"/>
      <c r="K18" s="4"/>
      <c r="L18" s="4"/>
      <c r="M18" s="4"/>
      <c r="P18">
        <v>0.25</v>
      </c>
      <c r="Q18">
        <f>AVERAGE(B28:C28)</f>
        <v>0.89400000000000002</v>
      </c>
      <c r="R18">
        <f t="shared" si="5"/>
        <v>0.51049999999999995</v>
      </c>
      <c r="U18" s="82" t="s">
        <v>152</v>
      </c>
      <c r="V18" s="6">
        <v>0.65200000000000002</v>
      </c>
      <c r="W18">
        <f t="shared" si="1"/>
        <v>0.29500000000000004</v>
      </c>
      <c r="X18">
        <f t="shared" si="2"/>
        <v>0.12603953362029338</v>
      </c>
      <c r="Y18">
        <f t="shared" si="3"/>
        <v>0.88227673534205364</v>
      </c>
    </row>
    <row r="19" spans="1:25" x14ac:dyDescent="0.25">
      <c r="A19" s="2" t="s">
        <v>124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P19">
        <v>0.5</v>
      </c>
      <c r="Q19">
        <f>AVERAGE(B30:C30)</f>
        <v>1.4355</v>
      </c>
      <c r="R19">
        <f t="shared" si="5"/>
        <v>1.052</v>
      </c>
      <c r="U19" s="82" t="s">
        <v>153</v>
      </c>
      <c r="V19" s="7">
        <v>0.58699999999999997</v>
      </c>
      <c r="W19">
        <f t="shared" si="1"/>
        <v>0.22999999999999998</v>
      </c>
      <c r="X19">
        <f t="shared" si="2"/>
        <v>9.8875841029712891E-2</v>
      </c>
      <c r="Y19">
        <f t="shared" si="3"/>
        <v>0.69213088720799021</v>
      </c>
    </row>
    <row r="20" spans="1:25" x14ac:dyDescent="0.25">
      <c r="A20" s="2" t="s">
        <v>125</v>
      </c>
      <c r="B20" s="11">
        <v>1.5049999999999999</v>
      </c>
      <c r="C20" s="11">
        <v>1.591</v>
      </c>
      <c r="D20" s="4"/>
      <c r="E20" s="4"/>
      <c r="F20" s="4"/>
      <c r="G20" s="4"/>
      <c r="H20" s="4"/>
      <c r="I20" s="4"/>
      <c r="J20" s="4"/>
      <c r="K20" s="4"/>
      <c r="L20" s="4"/>
      <c r="M20" s="4"/>
      <c r="O20">
        <v>4</v>
      </c>
      <c r="U20" s="82" t="s">
        <v>154</v>
      </c>
      <c r="V20" s="7">
        <v>0.52900000000000003</v>
      </c>
      <c r="W20">
        <f t="shared" si="1"/>
        <v>0.17200000000000004</v>
      </c>
      <c r="X20">
        <f t="shared" si="2"/>
        <v>7.4637469179656496E-2</v>
      </c>
      <c r="Y20">
        <f t="shared" si="3"/>
        <v>0.52246228425759544</v>
      </c>
    </row>
    <row r="21" spans="1:25" x14ac:dyDescent="0.25">
      <c r="A21">
        <v>3</v>
      </c>
      <c r="P21">
        <v>0</v>
      </c>
      <c r="Q21">
        <f>AVERAGE(B33:C33)</f>
        <v>0.34650000000000003</v>
      </c>
      <c r="R21">
        <f>Q21-Q$21</f>
        <v>0</v>
      </c>
      <c r="U21" s="82" t="s">
        <v>155</v>
      </c>
      <c r="V21" s="7">
        <v>0.58599999999999997</v>
      </c>
      <c r="W21">
        <f t="shared" si="1"/>
        <v>0.22899999999999998</v>
      </c>
      <c r="X21">
        <f t="shared" si="2"/>
        <v>9.8457938066780881E-2</v>
      </c>
      <c r="Y21">
        <f t="shared" si="3"/>
        <v>0.68920556646746611</v>
      </c>
    </row>
    <row r="22" spans="1:25" x14ac:dyDescent="0.25">
      <c r="A22" s="12"/>
      <c r="B22" s="2">
        <v>1</v>
      </c>
      <c r="C22" s="2">
        <v>2</v>
      </c>
      <c r="D22" s="2">
        <v>3</v>
      </c>
      <c r="E22" s="2">
        <v>4</v>
      </c>
      <c r="F22" s="2">
        <v>5</v>
      </c>
      <c r="G22" s="2">
        <v>6</v>
      </c>
      <c r="H22" s="2">
        <v>7</v>
      </c>
      <c r="I22" s="2">
        <v>8</v>
      </c>
      <c r="J22" s="2">
        <v>9</v>
      </c>
      <c r="K22" s="2">
        <v>10</v>
      </c>
      <c r="L22" s="2">
        <v>11</v>
      </c>
      <c r="M22" s="2">
        <v>12</v>
      </c>
      <c r="P22">
        <v>0.05</v>
      </c>
      <c r="Q22">
        <f>AVERAGE(B34:C34)</f>
        <v>0.47150000000000003</v>
      </c>
      <c r="R22">
        <f t="shared" ref="R22:R25" si="6">Q22-Q$21</f>
        <v>0.125</v>
      </c>
      <c r="U22" s="82" t="s">
        <v>156</v>
      </c>
      <c r="V22" s="7">
        <v>0.53100000000000003</v>
      </c>
      <c r="W22">
        <f t="shared" si="1"/>
        <v>0.17400000000000004</v>
      </c>
      <c r="X22">
        <f t="shared" si="2"/>
        <v>7.5473275105520515E-2</v>
      </c>
      <c r="Y22">
        <f t="shared" si="3"/>
        <v>0.52831292573864364</v>
      </c>
    </row>
    <row r="23" spans="1:25" x14ac:dyDescent="0.25">
      <c r="A23" s="2" t="s">
        <v>118</v>
      </c>
      <c r="B23" s="3">
        <v>0.38200000000000001</v>
      </c>
      <c r="C23" s="3">
        <v>0.38500000000000001</v>
      </c>
      <c r="D23" s="4"/>
      <c r="E23" s="7">
        <v>0.60299999999999998</v>
      </c>
      <c r="F23" s="9">
        <v>0.499</v>
      </c>
      <c r="G23" s="7">
        <v>0.55700000000000005</v>
      </c>
      <c r="H23" s="9">
        <v>0.52400000000000002</v>
      </c>
      <c r="I23" s="6">
        <v>0.64500000000000002</v>
      </c>
      <c r="J23" s="9">
        <v>0.54100000000000004</v>
      </c>
      <c r="K23" s="7">
        <v>0.624</v>
      </c>
      <c r="L23" s="7">
        <v>0.57299999999999995</v>
      </c>
      <c r="M23" s="6">
        <v>0.64800000000000002</v>
      </c>
      <c r="P23">
        <v>0.1</v>
      </c>
      <c r="Q23">
        <f>AVERAGE(B36:C36)</f>
        <v>0.59650000000000003</v>
      </c>
      <c r="R23">
        <f t="shared" si="6"/>
        <v>0.25</v>
      </c>
      <c r="T23">
        <v>2</v>
      </c>
      <c r="U23" t="s">
        <v>0</v>
      </c>
      <c r="V23" t="s">
        <v>221</v>
      </c>
      <c r="W23" t="s">
        <v>222</v>
      </c>
      <c r="X23" t="s">
        <v>223</v>
      </c>
      <c r="Y23" t="s">
        <v>224</v>
      </c>
    </row>
    <row r="24" spans="1:25" x14ac:dyDescent="0.25">
      <c r="A24" s="2" t="s">
        <v>120</v>
      </c>
      <c r="B24" s="9">
        <v>0.47899999999999998</v>
      </c>
      <c r="C24" s="3">
        <v>0.45400000000000001</v>
      </c>
      <c r="D24" s="4"/>
      <c r="E24" s="4"/>
      <c r="F24" s="4"/>
      <c r="G24" s="4"/>
      <c r="H24" s="4"/>
      <c r="I24" s="4"/>
      <c r="J24" s="4"/>
      <c r="K24" s="4"/>
      <c r="L24" s="4"/>
      <c r="M24" s="4"/>
      <c r="P24">
        <v>0.25</v>
      </c>
      <c r="Q24">
        <f>AVERAGE(B38:C38)</f>
        <v>0.77350000000000008</v>
      </c>
      <c r="R24">
        <f t="shared" si="6"/>
        <v>0.42700000000000005</v>
      </c>
      <c r="U24" s="82" t="s">
        <v>136</v>
      </c>
      <c r="V24" s="7">
        <v>0.61799999999999999</v>
      </c>
      <c r="W24">
        <f>V24-Q$9</f>
        <v>0.22849999999999998</v>
      </c>
      <c r="X24">
        <f>(W24+0.0504)/2.3525</f>
        <v>0.11855472901168969</v>
      </c>
      <c r="Y24">
        <f>X24*7</f>
        <v>0.82988310308182778</v>
      </c>
    </row>
    <row r="25" spans="1:25" x14ac:dyDescent="0.25">
      <c r="A25" s="2" t="s">
        <v>76</v>
      </c>
      <c r="B25" s="4"/>
      <c r="C25" s="4"/>
      <c r="D25" s="4"/>
      <c r="E25" s="9">
        <v>0.51700000000000002</v>
      </c>
      <c r="F25" s="9">
        <v>0.53700000000000003</v>
      </c>
      <c r="G25" s="9">
        <v>0.50800000000000001</v>
      </c>
      <c r="H25" s="9">
        <v>0.54900000000000004</v>
      </c>
      <c r="I25" s="9">
        <v>0.49099999999999999</v>
      </c>
      <c r="J25" s="7">
        <v>0.57099999999999995</v>
      </c>
      <c r="K25" s="6">
        <v>0.66100000000000003</v>
      </c>
      <c r="L25" s="7">
        <v>0.59799999999999998</v>
      </c>
      <c r="M25" s="7">
        <v>0.55700000000000005</v>
      </c>
      <c r="P25">
        <v>0.5</v>
      </c>
      <c r="Q25">
        <f>AVERAGE(B40:C40)</f>
        <v>1.0699999999999998</v>
      </c>
      <c r="R25">
        <f t="shared" si="6"/>
        <v>0.72349999999999981</v>
      </c>
      <c r="U25" s="82" t="s">
        <v>138</v>
      </c>
      <c r="V25" s="9">
        <v>0.54800000000000004</v>
      </c>
      <c r="W25">
        <f t="shared" ref="W25:W43" si="7">V25-Q$9</f>
        <v>0.15850000000000003</v>
      </c>
      <c r="X25">
        <f t="shared" ref="X25:X43" si="8">(W25+0.0504)/2.3525</f>
        <v>8.8799149840595129E-2</v>
      </c>
      <c r="Y25">
        <f t="shared" ref="Y25:Y43" si="9">X25*7</f>
        <v>0.62159404888416592</v>
      </c>
    </row>
    <row r="26" spans="1:25" x14ac:dyDescent="0.25">
      <c r="A26" s="2" t="s">
        <v>121</v>
      </c>
      <c r="B26" s="9">
        <v>0.52200000000000002</v>
      </c>
      <c r="C26" s="6">
        <v>0.64</v>
      </c>
      <c r="D26" s="4"/>
      <c r="E26" s="4"/>
      <c r="F26" s="4"/>
      <c r="G26" s="4"/>
      <c r="H26" s="4"/>
      <c r="I26" s="4"/>
      <c r="J26" s="4"/>
      <c r="K26" s="4"/>
      <c r="L26" s="4"/>
      <c r="M26" s="4"/>
      <c r="O26">
        <v>5</v>
      </c>
      <c r="U26" s="82" t="s">
        <v>139</v>
      </c>
      <c r="V26" s="7">
        <v>0.57599999999999996</v>
      </c>
      <c r="W26">
        <f t="shared" si="7"/>
        <v>0.18649999999999994</v>
      </c>
      <c r="X26">
        <f t="shared" si="8"/>
        <v>0.10070138150903292</v>
      </c>
      <c r="Y26">
        <f t="shared" si="9"/>
        <v>0.70490967056323039</v>
      </c>
    </row>
    <row r="27" spans="1:25" x14ac:dyDescent="0.25">
      <c r="A27" s="2" t="s">
        <v>122</v>
      </c>
      <c r="B27" s="4"/>
      <c r="C27" s="4"/>
      <c r="D27" s="4"/>
      <c r="E27" s="7">
        <v>0.56999999999999995</v>
      </c>
      <c r="F27" s="6">
        <v>0.65200000000000002</v>
      </c>
      <c r="G27" s="4"/>
      <c r="H27" s="4"/>
      <c r="I27" s="4"/>
      <c r="J27" s="4"/>
      <c r="K27" s="4"/>
      <c r="L27" s="4"/>
      <c r="M27" s="4"/>
      <c r="P27">
        <v>0</v>
      </c>
      <c r="Q27">
        <f>AVERAGE(B43:C43)</f>
        <v>0.33350000000000002</v>
      </c>
      <c r="R27">
        <f>Q27-Q$27</f>
        <v>0</v>
      </c>
      <c r="U27" s="82" t="s">
        <v>140</v>
      </c>
      <c r="V27" s="9">
        <v>0.48699999999999999</v>
      </c>
      <c r="W27">
        <f t="shared" si="7"/>
        <v>9.7499999999999976E-2</v>
      </c>
      <c r="X27">
        <f t="shared" si="8"/>
        <v>6.2869287991498393E-2</v>
      </c>
      <c r="Y27">
        <f t="shared" si="9"/>
        <v>0.44008501594048877</v>
      </c>
    </row>
    <row r="28" spans="1:25" x14ac:dyDescent="0.25">
      <c r="A28" s="2" t="s">
        <v>123</v>
      </c>
      <c r="B28" s="13">
        <v>0.91100000000000003</v>
      </c>
      <c r="C28" s="8">
        <v>0.877</v>
      </c>
      <c r="D28" s="4"/>
      <c r="E28" s="4"/>
      <c r="F28" s="4"/>
      <c r="G28" s="4"/>
      <c r="H28" s="4"/>
      <c r="I28" s="4"/>
      <c r="J28" s="4"/>
      <c r="K28" s="4"/>
      <c r="L28" s="4"/>
      <c r="M28" s="4"/>
      <c r="P28">
        <v>0.05</v>
      </c>
      <c r="Q28">
        <f>AVERAGE(B44:C44)</f>
        <v>0.47150000000000003</v>
      </c>
      <c r="R28">
        <f t="shared" ref="R28:R31" si="10">Q28-Q$27</f>
        <v>0.13800000000000001</v>
      </c>
      <c r="U28" s="82" t="s">
        <v>141</v>
      </c>
      <c r="V28" s="7">
        <v>0.61199999999999999</v>
      </c>
      <c r="W28">
        <f t="shared" si="7"/>
        <v>0.22249999999999998</v>
      </c>
      <c r="X28">
        <f t="shared" si="8"/>
        <v>0.11600425079702444</v>
      </c>
      <c r="Y28">
        <f t="shared" si="9"/>
        <v>0.81202975557917101</v>
      </c>
    </row>
    <row r="29" spans="1:25" x14ac:dyDescent="0.25">
      <c r="A29" s="2" t="s">
        <v>124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P29">
        <v>0.1</v>
      </c>
      <c r="Q29">
        <f>AVERAGE(B46:C46)</f>
        <v>0.59099999999999997</v>
      </c>
      <c r="R29">
        <f t="shared" si="10"/>
        <v>0.25749999999999995</v>
      </c>
      <c r="U29" s="82" t="s">
        <v>142</v>
      </c>
      <c r="V29" s="9">
        <v>0.53800000000000003</v>
      </c>
      <c r="W29">
        <f t="shared" si="7"/>
        <v>0.14850000000000002</v>
      </c>
      <c r="X29">
        <f t="shared" si="8"/>
        <v>8.4548352816153041E-2</v>
      </c>
      <c r="Y29">
        <f t="shared" si="9"/>
        <v>0.5918384697130713</v>
      </c>
    </row>
    <row r="30" spans="1:25" x14ac:dyDescent="0.25">
      <c r="A30" s="2" t="s">
        <v>125</v>
      </c>
      <c r="B30" s="17">
        <v>1.296</v>
      </c>
      <c r="C30" s="11">
        <v>1.575</v>
      </c>
      <c r="D30" s="4"/>
      <c r="E30" s="4"/>
      <c r="F30" s="4"/>
      <c r="G30" s="4"/>
      <c r="H30" s="4"/>
      <c r="I30" s="4"/>
      <c r="J30" s="4"/>
      <c r="K30" s="4"/>
      <c r="L30" s="4"/>
      <c r="M30" s="4"/>
      <c r="P30">
        <v>0.25</v>
      </c>
      <c r="Q30">
        <f>AVERAGE(B48:C48)</f>
        <v>0.73649999999999993</v>
      </c>
      <c r="R30">
        <f t="shared" si="10"/>
        <v>0.40299999999999991</v>
      </c>
      <c r="U30" s="82" t="s">
        <v>143</v>
      </c>
      <c r="V30" s="7">
        <v>0.622</v>
      </c>
      <c r="W30">
        <f t="shared" si="7"/>
        <v>0.23249999999999998</v>
      </c>
      <c r="X30">
        <f t="shared" si="8"/>
        <v>0.12025504782146652</v>
      </c>
      <c r="Y30">
        <f t="shared" si="9"/>
        <v>0.84178533475026562</v>
      </c>
    </row>
    <row r="31" spans="1:25" x14ac:dyDescent="0.25">
      <c r="A31">
        <v>4</v>
      </c>
      <c r="P31">
        <v>0.5</v>
      </c>
      <c r="Q31">
        <f>AVERAGE(B50:C50)</f>
        <v>1.0375000000000001</v>
      </c>
      <c r="R31">
        <f t="shared" si="10"/>
        <v>0.70400000000000007</v>
      </c>
      <c r="U31" s="82" t="s">
        <v>144</v>
      </c>
      <c r="V31" s="6">
        <v>0.69299999999999995</v>
      </c>
      <c r="W31">
        <f t="shared" si="7"/>
        <v>0.30349999999999994</v>
      </c>
      <c r="X31">
        <f t="shared" si="8"/>
        <v>0.15043570669500528</v>
      </c>
      <c r="Y31">
        <f t="shared" si="9"/>
        <v>1.0530499468650369</v>
      </c>
    </row>
    <row r="32" spans="1:25" x14ac:dyDescent="0.25">
      <c r="A32" s="18"/>
      <c r="B32" s="2">
        <v>1</v>
      </c>
      <c r="C32" s="2">
        <v>2</v>
      </c>
      <c r="D32" s="2">
        <v>3</v>
      </c>
      <c r="E32" s="2">
        <v>4</v>
      </c>
      <c r="F32" s="2">
        <v>5</v>
      </c>
      <c r="G32" s="2">
        <v>6</v>
      </c>
      <c r="H32" s="2">
        <v>7</v>
      </c>
      <c r="I32" s="2">
        <v>8</v>
      </c>
      <c r="J32" s="2">
        <v>9</v>
      </c>
      <c r="K32" s="2">
        <v>10</v>
      </c>
      <c r="L32" s="2">
        <v>11</v>
      </c>
      <c r="M32" s="2">
        <v>12</v>
      </c>
      <c r="O32">
        <v>6</v>
      </c>
      <c r="U32" s="82" t="s">
        <v>145</v>
      </c>
      <c r="V32" s="5">
        <v>0.75800000000000001</v>
      </c>
      <c r="W32">
        <f t="shared" si="7"/>
        <v>0.36849999999999999</v>
      </c>
      <c r="X32">
        <f t="shared" si="8"/>
        <v>0.17806588735387885</v>
      </c>
      <c r="Y32">
        <f t="shared" si="9"/>
        <v>1.2464612114771518</v>
      </c>
    </row>
    <row r="33" spans="1:25" x14ac:dyDescent="0.25">
      <c r="A33" s="2" t="s">
        <v>118</v>
      </c>
      <c r="B33" s="3">
        <v>0.34200000000000003</v>
      </c>
      <c r="C33" s="3">
        <v>0.35099999999999998</v>
      </c>
      <c r="D33" s="4"/>
      <c r="E33" s="13">
        <v>0.68799999999999994</v>
      </c>
      <c r="F33" s="10">
        <v>0.81299999999999994</v>
      </c>
      <c r="G33" s="8">
        <v>0.63700000000000001</v>
      </c>
      <c r="H33" s="8">
        <v>0.64600000000000002</v>
      </c>
      <c r="I33" s="10">
        <v>0.79400000000000004</v>
      </c>
      <c r="J33" s="13">
        <v>0.70199999999999996</v>
      </c>
      <c r="K33" s="15">
        <v>0.74</v>
      </c>
      <c r="L33" s="13">
        <v>0.66300000000000003</v>
      </c>
      <c r="M33" s="10">
        <v>0.79800000000000004</v>
      </c>
      <c r="P33">
        <v>0</v>
      </c>
      <c r="Q33">
        <f>AVERAGE(B53:C53)</f>
        <v>0.33150000000000002</v>
      </c>
      <c r="R33">
        <f>Q33-Q$33</f>
        <v>0</v>
      </c>
      <c r="U33" s="82" t="s">
        <v>146</v>
      </c>
      <c r="V33" s="9">
        <v>0.504</v>
      </c>
      <c r="W33">
        <f t="shared" si="7"/>
        <v>0.11449999999999999</v>
      </c>
      <c r="X33">
        <f t="shared" si="8"/>
        <v>7.0095642933049943E-2</v>
      </c>
      <c r="Y33">
        <f t="shared" si="9"/>
        <v>0.49066950053134961</v>
      </c>
    </row>
    <row r="34" spans="1:25" x14ac:dyDescent="0.25">
      <c r="A34" s="2" t="s">
        <v>120</v>
      </c>
      <c r="B34" s="7">
        <v>0.46400000000000002</v>
      </c>
      <c r="C34" s="7">
        <v>0.47899999999999998</v>
      </c>
      <c r="D34" s="4"/>
      <c r="E34" s="4"/>
      <c r="F34" s="4"/>
      <c r="G34" s="4"/>
      <c r="H34" s="4"/>
      <c r="I34" s="4"/>
      <c r="J34" s="4"/>
      <c r="K34" s="4"/>
      <c r="L34" s="4"/>
      <c r="M34" s="4"/>
      <c r="P34">
        <v>0.05</v>
      </c>
      <c r="Q34">
        <f>AVERAGE(B54:C54)</f>
        <v>0.47499999999999998</v>
      </c>
      <c r="R34">
        <f t="shared" ref="R34:R37" si="11">Q34-Q$33</f>
        <v>0.14349999999999996</v>
      </c>
      <c r="U34" s="82" t="s">
        <v>147</v>
      </c>
      <c r="V34" s="9">
        <v>0.53600000000000003</v>
      </c>
      <c r="W34">
        <f t="shared" si="7"/>
        <v>0.14650000000000002</v>
      </c>
      <c r="X34">
        <f t="shared" si="8"/>
        <v>8.3698193411264624E-2</v>
      </c>
      <c r="Y34">
        <f t="shared" si="9"/>
        <v>0.58588735387885238</v>
      </c>
    </row>
    <row r="35" spans="1:25" x14ac:dyDescent="0.25">
      <c r="A35" s="2" t="s">
        <v>76</v>
      </c>
      <c r="B35" s="4"/>
      <c r="C35" s="4"/>
      <c r="D35" s="4"/>
      <c r="E35" s="13">
        <v>0.66400000000000003</v>
      </c>
      <c r="F35" s="15">
        <v>0.72599999999999998</v>
      </c>
      <c r="G35" s="13">
        <v>0.68200000000000005</v>
      </c>
      <c r="H35" s="13">
        <v>0.69599999999999995</v>
      </c>
      <c r="I35" s="8">
        <v>0.61299999999999999</v>
      </c>
      <c r="J35" s="15">
        <v>0.73199999999999998</v>
      </c>
      <c r="K35" s="15">
        <v>0.753</v>
      </c>
      <c r="L35" s="8">
        <v>0.61899999999999999</v>
      </c>
      <c r="M35" s="13">
        <v>0.67800000000000005</v>
      </c>
      <c r="P35">
        <v>0.1</v>
      </c>
      <c r="Q35">
        <f>AVERAGE(B56:C56)</f>
        <v>0.58699999999999997</v>
      </c>
      <c r="R35">
        <f t="shared" si="11"/>
        <v>0.25549999999999995</v>
      </c>
      <c r="U35" s="82" t="s">
        <v>148</v>
      </c>
      <c r="V35" s="9">
        <v>0.55500000000000005</v>
      </c>
      <c r="W35">
        <f t="shared" si="7"/>
        <v>0.16550000000000004</v>
      </c>
      <c r="X35">
        <f t="shared" si="8"/>
        <v>9.1774707757704591E-2</v>
      </c>
      <c r="Y35">
        <f t="shared" si="9"/>
        <v>0.64242295430393215</v>
      </c>
    </row>
    <row r="36" spans="1:25" x14ac:dyDescent="0.25">
      <c r="A36" s="2" t="s">
        <v>121</v>
      </c>
      <c r="B36" s="5">
        <v>0.60099999999999998</v>
      </c>
      <c r="C36" s="5">
        <v>0.59199999999999997</v>
      </c>
      <c r="D36" s="4"/>
      <c r="E36" s="4"/>
      <c r="F36" s="4"/>
      <c r="G36" s="4"/>
      <c r="H36" s="4"/>
      <c r="I36" s="4"/>
      <c r="J36" s="4"/>
      <c r="K36" s="4"/>
      <c r="L36" s="4"/>
      <c r="M36" s="4"/>
      <c r="P36">
        <v>0.25</v>
      </c>
      <c r="Q36">
        <f>AVERAGE(B58:C58)</f>
        <v>0.73699999999999999</v>
      </c>
      <c r="R36">
        <f t="shared" si="11"/>
        <v>0.40549999999999997</v>
      </c>
      <c r="U36" s="82" t="s">
        <v>149</v>
      </c>
      <c r="V36" s="7">
        <v>0.628</v>
      </c>
      <c r="W36">
        <f t="shared" si="7"/>
        <v>0.23849999999999999</v>
      </c>
      <c r="X36">
        <f t="shared" si="8"/>
        <v>0.12280552603613176</v>
      </c>
      <c r="Y36">
        <f t="shared" si="9"/>
        <v>0.85963868225292228</v>
      </c>
    </row>
    <row r="37" spans="1:25" x14ac:dyDescent="0.25">
      <c r="A37" s="2" t="s">
        <v>122</v>
      </c>
      <c r="B37" s="4"/>
      <c r="C37" s="4"/>
      <c r="D37" s="4"/>
      <c r="E37" s="10">
        <v>0.77</v>
      </c>
      <c r="F37" s="8">
        <v>0.626</v>
      </c>
      <c r="G37" s="4"/>
      <c r="H37" s="4"/>
      <c r="I37" s="4"/>
      <c r="J37" s="4"/>
      <c r="K37" s="4"/>
      <c r="L37" s="4"/>
      <c r="M37" s="4"/>
      <c r="P37">
        <v>0.5</v>
      </c>
      <c r="Q37">
        <f>AVERAGE(B60:C60)</f>
        <v>1.0489999999999999</v>
      </c>
      <c r="R37">
        <f t="shared" si="11"/>
        <v>0.71749999999999992</v>
      </c>
      <c r="U37" s="82" t="s">
        <v>150</v>
      </c>
      <c r="V37" s="3">
        <v>0.47299999999999998</v>
      </c>
      <c r="W37">
        <f t="shared" si="7"/>
        <v>8.3499999999999963E-2</v>
      </c>
      <c r="X37">
        <f t="shared" si="8"/>
        <v>5.691817215727947E-2</v>
      </c>
      <c r="Y37">
        <f t="shared" si="9"/>
        <v>0.39842720510095631</v>
      </c>
    </row>
    <row r="38" spans="1:25" x14ac:dyDescent="0.25">
      <c r="A38" s="2" t="s">
        <v>123</v>
      </c>
      <c r="B38" s="15">
        <v>0.76</v>
      </c>
      <c r="C38" s="10">
        <v>0.78700000000000003</v>
      </c>
      <c r="D38" s="4"/>
      <c r="E38" s="4"/>
      <c r="F38" s="4"/>
      <c r="G38" s="4"/>
      <c r="H38" s="4"/>
      <c r="I38" s="4"/>
      <c r="J38" s="4"/>
      <c r="K38" s="4"/>
      <c r="L38" s="4"/>
      <c r="M38" s="4"/>
      <c r="U38" s="82" t="s">
        <v>151</v>
      </c>
      <c r="V38" s="7">
        <v>0.57299999999999995</v>
      </c>
      <c r="W38">
        <f t="shared" si="7"/>
        <v>0.18349999999999994</v>
      </c>
      <c r="X38">
        <f t="shared" si="8"/>
        <v>9.9426142401700293E-2</v>
      </c>
      <c r="Y38">
        <f t="shared" si="9"/>
        <v>0.69598299681190201</v>
      </c>
    </row>
    <row r="39" spans="1:25" x14ac:dyDescent="0.25">
      <c r="A39" s="2" t="s">
        <v>124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U39" s="82" t="s">
        <v>152</v>
      </c>
      <c r="V39" s="7">
        <v>0.61499999999999999</v>
      </c>
      <c r="W39">
        <f t="shared" si="7"/>
        <v>0.22549999999999998</v>
      </c>
      <c r="X39">
        <f t="shared" si="8"/>
        <v>0.11727948990435706</v>
      </c>
      <c r="Y39">
        <f t="shared" si="9"/>
        <v>0.82095642933049939</v>
      </c>
    </row>
    <row r="40" spans="1:25" x14ac:dyDescent="0.25">
      <c r="A40" s="2" t="s">
        <v>125</v>
      </c>
      <c r="B40" s="11">
        <v>1.081</v>
      </c>
      <c r="C40" s="11">
        <v>1.0589999999999999</v>
      </c>
      <c r="D40" s="4"/>
      <c r="E40" s="4"/>
      <c r="F40" s="4"/>
      <c r="G40" s="4"/>
      <c r="H40" s="4"/>
      <c r="I40" s="4"/>
      <c r="J40" s="4"/>
      <c r="K40" s="4"/>
      <c r="L40" s="4"/>
      <c r="M40" s="4"/>
      <c r="U40" s="82" t="s">
        <v>153</v>
      </c>
      <c r="V40" s="7">
        <v>0.61299999999999999</v>
      </c>
      <c r="W40">
        <f t="shared" si="7"/>
        <v>0.22349999999999998</v>
      </c>
      <c r="X40">
        <f t="shared" si="8"/>
        <v>0.11642933049946864</v>
      </c>
      <c r="Y40">
        <f t="shared" si="9"/>
        <v>0.81500531349628047</v>
      </c>
    </row>
    <row r="41" spans="1:25" x14ac:dyDescent="0.25">
      <c r="A41" s="19">
        <v>5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U41" s="82" t="s">
        <v>154</v>
      </c>
      <c r="V41" s="9">
        <v>0.501</v>
      </c>
      <c r="W41">
        <f t="shared" si="7"/>
        <v>0.11149999999999999</v>
      </c>
      <c r="X41">
        <f t="shared" si="8"/>
        <v>6.8820403825717316E-2</v>
      </c>
      <c r="Y41">
        <f t="shared" si="9"/>
        <v>0.48174282678002123</v>
      </c>
    </row>
    <row r="42" spans="1:25" x14ac:dyDescent="0.25">
      <c r="A42" s="18"/>
      <c r="B42" s="2">
        <v>1</v>
      </c>
      <c r="C42" s="2">
        <v>2</v>
      </c>
      <c r="D42" s="2">
        <v>3</v>
      </c>
      <c r="E42" s="2">
        <v>4</v>
      </c>
      <c r="F42" s="2">
        <v>5</v>
      </c>
      <c r="G42" s="2">
        <v>6</v>
      </c>
      <c r="H42" s="2">
        <v>7</v>
      </c>
      <c r="I42" s="2">
        <v>8</v>
      </c>
      <c r="J42" s="2">
        <v>9</v>
      </c>
      <c r="K42" s="2">
        <v>10</v>
      </c>
      <c r="L42" s="2">
        <v>11</v>
      </c>
      <c r="M42" s="2">
        <v>12</v>
      </c>
      <c r="U42" s="82" t="s">
        <v>155</v>
      </c>
      <c r="V42" s="7">
        <v>0.59599999999999997</v>
      </c>
      <c r="W42">
        <f t="shared" si="7"/>
        <v>0.20649999999999996</v>
      </c>
      <c r="X42">
        <f t="shared" si="8"/>
        <v>0.1092029755579171</v>
      </c>
      <c r="Y42">
        <f t="shared" si="9"/>
        <v>0.76442082890541962</v>
      </c>
    </row>
    <row r="43" spans="1:25" x14ac:dyDescent="0.25">
      <c r="A43" s="2" t="s">
        <v>118</v>
      </c>
      <c r="B43" s="3">
        <v>0.33200000000000002</v>
      </c>
      <c r="C43" s="3">
        <v>0.33500000000000002</v>
      </c>
      <c r="D43" s="4"/>
      <c r="E43" s="15">
        <v>0.72499999999999998</v>
      </c>
      <c r="F43" s="10">
        <v>0.753</v>
      </c>
      <c r="G43" s="8">
        <v>0.621</v>
      </c>
      <c r="H43" s="8">
        <v>0.63300000000000001</v>
      </c>
      <c r="I43" s="10">
        <v>0.79</v>
      </c>
      <c r="J43" s="10">
        <v>0.77500000000000002</v>
      </c>
      <c r="K43" s="5">
        <v>0.54900000000000004</v>
      </c>
      <c r="L43" s="15">
        <v>0.71099999999999997</v>
      </c>
      <c r="M43" s="10">
        <v>0.76100000000000001</v>
      </c>
      <c r="U43" s="82" t="s">
        <v>156</v>
      </c>
      <c r="V43" s="7">
        <v>0.58699999999999997</v>
      </c>
      <c r="W43">
        <f t="shared" si="7"/>
        <v>0.19749999999999995</v>
      </c>
      <c r="X43">
        <f t="shared" si="8"/>
        <v>0.10537725823591922</v>
      </c>
      <c r="Y43">
        <f t="shared" si="9"/>
        <v>0.73764080765143447</v>
      </c>
    </row>
    <row r="44" spans="1:25" x14ac:dyDescent="0.25">
      <c r="A44" s="2" t="s">
        <v>120</v>
      </c>
      <c r="B44" s="7">
        <v>0.45600000000000002</v>
      </c>
      <c r="C44" s="7">
        <v>0.48699999999999999</v>
      </c>
      <c r="D44" s="4"/>
      <c r="E44" s="4"/>
      <c r="F44" s="4"/>
      <c r="G44" s="4"/>
      <c r="H44" s="4"/>
      <c r="I44" s="4"/>
      <c r="J44" s="4"/>
      <c r="K44" s="4"/>
      <c r="L44" s="4"/>
      <c r="M44" s="4"/>
      <c r="T44">
        <v>3</v>
      </c>
      <c r="U44" t="s">
        <v>0</v>
      </c>
      <c r="V44" t="s">
        <v>221</v>
      </c>
      <c r="W44" t="s">
        <v>222</v>
      </c>
      <c r="X44" t="s">
        <v>223</v>
      </c>
      <c r="Y44" t="s">
        <v>224</v>
      </c>
    </row>
    <row r="45" spans="1:25" x14ac:dyDescent="0.25">
      <c r="A45" s="2" t="s">
        <v>76</v>
      </c>
      <c r="B45" s="4"/>
      <c r="C45" s="4"/>
      <c r="D45" s="4"/>
      <c r="E45" s="15">
        <v>0.70599999999999996</v>
      </c>
      <c r="F45" s="8">
        <v>0.63900000000000001</v>
      </c>
      <c r="G45" s="8">
        <v>0.61299999999999999</v>
      </c>
      <c r="H45" s="13">
        <v>0.67100000000000004</v>
      </c>
      <c r="I45" s="8">
        <v>0.61499999999999999</v>
      </c>
      <c r="J45" s="15">
        <v>0.747</v>
      </c>
      <c r="K45" s="10">
        <v>0.752</v>
      </c>
      <c r="L45" s="8">
        <v>0.64200000000000002</v>
      </c>
      <c r="M45" s="13">
        <v>0.65800000000000003</v>
      </c>
      <c r="U45" s="82" t="s">
        <v>136</v>
      </c>
      <c r="V45" s="7">
        <v>0.60299999999999998</v>
      </c>
      <c r="W45">
        <f>V45-Q$15</f>
        <v>0.21949999999999997</v>
      </c>
      <c r="X45">
        <f>(W45+0.0132)/2.1214</f>
        <v>0.10969171301970396</v>
      </c>
      <c r="Y45">
        <f>X45*7</f>
        <v>0.76784199113792773</v>
      </c>
    </row>
    <row r="46" spans="1:25" x14ac:dyDescent="0.25">
      <c r="A46" s="2" t="s">
        <v>121</v>
      </c>
      <c r="B46" s="8">
        <v>0.59599999999999997</v>
      </c>
      <c r="C46" s="5">
        <v>0.58599999999999997</v>
      </c>
      <c r="D46" s="4"/>
      <c r="E46" s="4"/>
      <c r="F46" s="4"/>
      <c r="G46" s="4"/>
      <c r="H46" s="4"/>
      <c r="I46" s="4"/>
      <c r="J46" s="4"/>
      <c r="K46" s="4"/>
      <c r="L46" s="4"/>
      <c r="M46" s="4"/>
      <c r="U46" s="82" t="s">
        <v>138</v>
      </c>
      <c r="V46" s="9">
        <v>0.499</v>
      </c>
      <c r="W46">
        <f t="shared" ref="W46:W64" si="12">V46-Q$15</f>
        <v>0.11549999999999999</v>
      </c>
      <c r="X46">
        <f t="shared" ref="X46:X64" si="13">(W46+0.0132)/2.1214</f>
        <v>6.06674837371547E-2</v>
      </c>
      <c r="Y46">
        <f t="shared" ref="Y46:Y64" si="14">X46*7</f>
        <v>0.4246723861600829</v>
      </c>
    </row>
    <row r="47" spans="1:25" x14ac:dyDescent="0.25">
      <c r="A47" s="2" t="s">
        <v>122</v>
      </c>
      <c r="B47" s="4"/>
      <c r="C47" s="4"/>
      <c r="D47" s="4"/>
      <c r="E47" s="10">
        <v>0.76</v>
      </c>
      <c r="F47" s="15">
        <v>0.69699999999999995</v>
      </c>
      <c r="G47" s="4"/>
      <c r="H47" s="4"/>
      <c r="I47" s="4"/>
      <c r="J47" s="4"/>
      <c r="K47" s="4"/>
      <c r="L47" s="4"/>
      <c r="M47" s="4"/>
      <c r="U47" s="82" t="s">
        <v>139</v>
      </c>
      <c r="V47" s="7">
        <v>0.55700000000000005</v>
      </c>
      <c r="W47">
        <f t="shared" si="12"/>
        <v>0.17350000000000004</v>
      </c>
      <c r="X47">
        <f t="shared" si="13"/>
        <v>8.8007919298576431E-2</v>
      </c>
      <c r="Y47">
        <f t="shared" si="14"/>
        <v>0.61605543509003502</v>
      </c>
    </row>
    <row r="48" spans="1:25" x14ac:dyDescent="0.25">
      <c r="A48" s="2" t="s">
        <v>123</v>
      </c>
      <c r="B48" s="15">
        <v>0.745</v>
      </c>
      <c r="C48" s="15">
        <v>0.72799999999999998</v>
      </c>
      <c r="D48" s="4"/>
      <c r="E48" s="4"/>
      <c r="F48" s="4"/>
      <c r="G48" s="4"/>
      <c r="H48" s="4"/>
      <c r="I48" s="4"/>
      <c r="J48" s="4"/>
      <c r="K48" s="4"/>
      <c r="L48" s="4"/>
      <c r="M48" s="4"/>
      <c r="U48" s="82" t="s">
        <v>140</v>
      </c>
      <c r="V48" s="9">
        <v>0.52400000000000002</v>
      </c>
      <c r="W48">
        <f t="shared" si="12"/>
        <v>0.14050000000000001</v>
      </c>
      <c r="X48">
        <f t="shared" si="13"/>
        <v>7.2452154237767519E-2</v>
      </c>
      <c r="Y48">
        <f t="shared" si="14"/>
        <v>0.50716507966437263</v>
      </c>
    </row>
    <row r="49" spans="1:25" x14ac:dyDescent="0.25">
      <c r="A49" s="2" t="s">
        <v>124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U49" s="82" t="s">
        <v>141</v>
      </c>
      <c r="V49" s="6">
        <v>0.64500000000000002</v>
      </c>
      <c r="W49">
        <f t="shared" si="12"/>
        <v>0.26150000000000001</v>
      </c>
      <c r="X49">
        <f t="shared" si="13"/>
        <v>0.12948995946073347</v>
      </c>
      <c r="Y49">
        <f t="shared" si="14"/>
        <v>0.90642971622513424</v>
      </c>
    </row>
    <row r="50" spans="1:25" x14ac:dyDescent="0.25">
      <c r="A50" s="2" t="s">
        <v>125</v>
      </c>
      <c r="B50" s="11">
        <v>1.06</v>
      </c>
      <c r="C50" s="11">
        <v>1.0149999999999999</v>
      </c>
      <c r="D50" s="4"/>
      <c r="E50" s="4"/>
      <c r="F50" s="4"/>
      <c r="G50" s="4"/>
      <c r="H50" s="4"/>
      <c r="I50" s="4"/>
      <c r="J50" s="4"/>
      <c r="K50" s="4"/>
      <c r="L50" s="4"/>
      <c r="M50" s="4"/>
      <c r="U50" s="82" t="s">
        <v>142</v>
      </c>
      <c r="V50" s="9">
        <v>0.54100000000000004</v>
      </c>
      <c r="W50">
        <f t="shared" si="12"/>
        <v>0.15750000000000003</v>
      </c>
      <c r="X50">
        <f t="shared" si="13"/>
        <v>8.046573017818423E-2</v>
      </c>
      <c r="Y50">
        <f t="shared" si="14"/>
        <v>0.56326011124728959</v>
      </c>
    </row>
    <row r="51" spans="1:25" x14ac:dyDescent="0.25">
      <c r="A51" s="19">
        <v>6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U51" s="82" t="s">
        <v>143</v>
      </c>
      <c r="V51" s="7">
        <v>0.624</v>
      </c>
      <c r="W51">
        <f t="shared" si="12"/>
        <v>0.24049999999999999</v>
      </c>
      <c r="X51">
        <f t="shared" si="13"/>
        <v>0.11959083624021871</v>
      </c>
      <c r="Y51">
        <f t="shared" si="14"/>
        <v>0.83713585368153098</v>
      </c>
    </row>
    <row r="52" spans="1:25" x14ac:dyDescent="0.25">
      <c r="A52" s="18"/>
      <c r="B52" s="2">
        <v>1</v>
      </c>
      <c r="C52" s="2">
        <v>2</v>
      </c>
      <c r="D52" s="2">
        <v>3</v>
      </c>
      <c r="E52" s="2">
        <v>4</v>
      </c>
      <c r="F52" s="2">
        <v>5</v>
      </c>
      <c r="G52" s="2">
        <v>6</v>
      </c>
      <c r="H52" s="2">
        <v>7</v>
      </c>
      <c r="I52" s="2">
        <v>8</v>
      </c>
      <c r="J52" s="2">
        <v>9</v>
      </c>
      <c r="K52" s="2">
        <v>10</v>
      </c>
      <c r="L52" s="2">
        <v>11</v>
      </c>
      <c r="M52" s="2">
        <v>12</v>
      </c>
      <c r="U52" s="82" t="s">
        <v>144</v>
      </c>
      <c r="V52" s="7">
        <v>0.57299999999999995</v>
      </c>
      <c r="W52">
        <f t="shared" si="12"/>
        <v>0.18949999999999995</v>
      </c>
      <c r="X52">
        <f t="shared" si="13"/>
        <v>9.5550108418968577E-2</v>
      </c>
      <c r="Y52">
        <f t="shared" si="14"/>
        <v>0.66885075893278001</v>
      </c>
    </row>
    <row r="53" spans="1:25" x14ac:dyDescent="0.25">
      <c r="A53" s="2" t="s">
        <v>118</v>
      </c>
      <c r="B53" s="3">
        <v>0.33300000000000002</v>
      </c>
      <c r="C53" s="3">
        <v>0.33</v>
      </c>
      <c r="D53" s="4"/>
      <c r="E53" s="15">
        <v>0.72599999999999998</v>
      </c>
      <c r="F53" s="16">
        <v>0.79400000000000004</v>
      </c>
      <c r="G53" s="13">
        <v>0.66400000000000003</v>
      </c>
      <c r="H53" s="13">
        <v>0.68600000000000005</v>
      </c>
      <c r="I53" s="16">
        <v>0.82799999999999996</v>
      </c>
      <c r="J53" s="10">
        <v>0.76600000000000001</v>
      </c>
      <c r="K53" s="10">
        <v>0.746</v>
      </c>
      <c r="L53" s="10">
        <v>0.751</v>
      </c>
      <c r="M53" s="16">
        <v>0.80300000000000005</v>
      </c>
      <c r="U53" s="82" t="s">
        <v>145</v>
      </c>
      <c r="V53" s="6">
        <v>0.64800000000000002</v>
      </c>
      <c r="W53">
        <f t="shared" si="12"/>
        <v>0.26450000000000001</v>
      </c>
      <c r="X53">
        <f t="shared" si="13"/>
        <v>0.13090411992080703</v>
      </c>
      <c r="Y53">
        <f t="shared" si="14"/>
        <v>0.91632883944564925</v>
      </c>
    </row>
    <row r="54" spans="1:25" x14ac:dyDescent="0.25">
      <c r="A54" s="2" t="s">
        <v>120</v>
      </c>
      <c r="B54" s="7">
        <v>0.47299999999999998</v>
      </c>
      <c r="C54" s="7">
        <v>0.47699999999999998</v>
      </c>
      <c r="D54" s="4"/>
      <c r="E54" s="4"/>
      <c r="F54" s="4"/>
      <c r="G54" s="4"/>
      <c r="H54" s="4"/>
      <c r="I54" s="4"/>
      <c r="J54" s="4"/>
      <c r="K54" s="4"/>
      <c r="L54" s="4"/>
      <c r="M54" s="4"/>
      <c r="U54" s="82" t="s">
        <v>146</v>
      </c>
      <c r="V54" s="9">
        <v>0.51700000000000002</v>
      </c>
      <c r="W54">
        <f t="shared" si="12"/>
        <v>0.13350000000000001</v>
      </c>
      <c r="X54">
        <f t="shared" si="13"/>
        <v>6.9152446497595929E-2</v>
      </c>
      <c r="Y54">
        <f t="shared" si="14"/>
        <v>0.48406712548317149</v>
      </c>
    </row>
    <row r="55" spans="1:25" x14ac:dyDescent="0.25">
      <c r="A55" s="2" t="s">
        <v>76</v>
      </c>
      <c r="B55" s="4"/>
      <c r="C55" s="4"/>
      <c r="D55" s="4"/>
      <c r="E55" s="15">
        <v>0.72199999999999998</v>
      </c>
      <c r="F55" s="10">
        <v>0.75600000000000001</v>
      </c>
      <c r="G55" s="13">
        <v>0.68600000000000005</v>
      </c>
      <c r="H55" s="15">
        <v>0.70199999999999996</v>
      </c>
      <c r="I55" s="13">
        <v>0.64100000000000001</v>
      </c>
      <c r="J55" s="10">
        <v>0.79100000000000004</v>
      </c>
      <c r="K55" s="10">
        <v>0.79100000000000004</v>
      </c>
      <c r="L55" s="8">
        <v>0.625</v>
      </c>
      <c r="M55" s="8">
        <v>0.61799999999999999</v>
      </c>
      <c r="U55" s="82" t="s">
        <v>147</v>
      </c>
      <c r="V55" s="9">
        <v>0.53700000000000003</v>
      </c>
      <c r="W55">
        <f t="shared" si="12"/>
        <v>0.15350000000000003</v>
      </c>
      <c r="X55">
        <f t="shared" si="13"/>
        <v>7.8580182898086173E-2</v>
      </c>
      <c r="Y55">
        <f t="shared" si="14"/>
        <v>0.55006128028660317</v>
      </c>
    </row>
    <row r="56" spans="1:25" x14ac:dyDescent="0.25">
      <c r="A56" s="2" t="s">
        <v>121</v>
      </c>
      <c r="B56" s="8">
        <v>0.59799999999999998</v>
      </c>
      <c r="C56" s="5">
        <v>0.57599999999999996</v>
      </c>
      <c r="D56" s="4"/>
      <c r="E56" s="4"/>
      <c r="F56" s="4"/>
      <c r="G56" s="4"/>
      <c r="H56" s="4"/>
      <c r="I56" s="4"/>
      <c r="J56" s="4"/>
      <c r="K56" s="4"/>
      <c r="L56" s="4"/>
      <c r="M56" s="4"/>
      <c r="U56" s="82" t="s">
        <v>148</v>
      </c>
      <c r="V56" s="9">
        <v>0.50800000000000001</v>
      </c>
      <c r="W56">
        <f t="shared" si="12"/>
        <v>0.1245</v>
      </c>
      <c r="X56">
        <f t="shared" si="13"/>
        <v>6.4909965117375318E-2</v>
      </c>
      <c r="Y56">
        <f t="shared" si="14"/>
        <v>0.4543697558216272</v>
      </c>
    </row>
    <row r="57" spans="1:25" x14ac:dyDescent="0.25">
      <c r="A57" s="2" t="s">
        <v>122</v>
      </c>
      <c r="B57" s="4"/>
      <c r="C57" s="4"/>
      <c r="D57" s="4"/>
      <c r="E57" s="10">
        <v>0.79</v>
      </c>
      <c r="F57" s="8">
        <v>0.60299999999999998</v>
      </c>
      <c r="G57" s="4"/>
      <c r="H57" s="4"/>
      <c r="I57" s="4"/>
      <c r="J57" s="4"/>
      <c r="K57" s="4"/>
      <c r="L57" s="4"/>
      <c r="M57" s="4"/>
      <c r="U57" s="82" t="s">
        <v>149</v>
      </c>
      <c r="V57" s="9">
        <v>0.54900000000000004</v>
      </c>
      <c r="W57">
        <f t="shared" si="12"/>
        <v>0.16550000000000004</v>
      </c>
      <c r="X57">
        <f t="shared" si="13"/>
        <v>8.4236824738380331E-2</v>
      </c>
      <c r="Y57">
        <f t="shared" si="14"/>
        <v>0.5896577731686623</v>
      </c>
    </row>
    <row r="58" spans="1:25" x14ac:dyDescent="0.25">
      <c r="A58" s="2" t="s">
        <v>123</v>
      </c>
      <c r="B58" s="15">
        <v>0.72399999999999998</v>
      </c>
      <c r="C58" s="10">
        <v>0.75</v>
      </c>
      <c r="D58" s="4"/>
      <c r="E58" s="4"/>
      <c r="F58" s="4"/>
      <c r="G58" s="4"/>
      <c r="H58" s="4"/>
      <c r="I58" s="4"/>
      <c r="J58" s="4"/>
      <c r="K58" s="4"/>
      <c r="L58" s="4"/>
      <c r="M58" s="4"/>
      <c r="U58" s="82" t="s">
        <v>150</v>
      </c>
      <c r="V58" s="9">
        <v>0.49099999999999999</v>
      </c>
      <c r="W58">
        <f t="shared" si="12"/>
        <v>0.10749999999999998</v>
      </c>
      <c r="X58">
        <f t="shared" si="13"/>
        <v>5.6896389176958606E-2</v>
      </c>
      <c r="Y58">
        <f t="shared" si="14"/>
        <v>0.39827472423871024</v>
      </c>
    </row>
    <row r="59" spans="1:25" x14ac:dyDescent="0.25">
      <c r="A59" s="2" t="s">
        <v>124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U59" s="82" t="s">
        <v>151</v>
      </c>
      <c r="V59" s="7">
        <v>0.57099999999999995</v>
      </c>
      <c r="W59">
        <f t="shared" si="12"/>
        <v>0.18749999999999994</v>
      </c>
      <c r="X59">
        <f t="shared" si="13"/>
        <v>9.4607334778919555E-2</v>
      </c>
      <c r="Y59">
        <f t="shared" si="14"/>
        <v>0.66225134345243686</v>
      </c>
    </row>
    <row r="60" spans="1:25" x14ac:dyDescent="0.25">
      <c r="A60" s="2" t="s">
        <v>125</v>
      </c>
      <c r="B60" s="11">
        <v>1.0489999999999999</v>
      </c>
      <c r="C60" s="11">
        <v>1.0489999999999999</v>
      </c>
      <c r="D60" s="4"/>
      <c r="E60" s="4"/>
      <c r="F60" s="4"/>
      <c r="G60" s="4"/>
      <c r="H60" s="4"/>
      <c r="I60" s="4"/>
      <c r="J60" s="4"/>
      <c r="K60" s="4"/>
      <c r="L60" s="4"/>
      <c r="M60" s="4"/>
      <c r="U60" s="82" t="s">
        <v>152</v>
      </c>
      <c r="V60" s="6">
        <v>0.66100000000000003</v>
      </c>
      <c r="W60">
        <f t="shared" si="12"/>
        <v>0.27750000000000002</v>
      </c>
      <c r="X60">
        <f t="shared" si="13"/>
        <v>0.13703214858112567</v>
      </c>
      <c r="Y60">
        <f t="shared" si="14"/>
        <v>0.95922504006787968</v>
      </c>
    </row>
    <row r="61" spans="1:25" x14ac:dyDescent="0.25">
      <c r="U61" s="82" t="s">
        <v>153</v>
      </c>
      <c r="V61" s="7">
        <v>0.59799999999999998</v>
      </c>
      <c r="W61">
        <f t="shared" si="12"/>
        <v>0.21449999999999997</v>
      </c>
      <c r="X61">
        <f t="shared" si="13"/>
        <v>0.10733477891958139</v>
      </c>
      <c r="Y61">
        <f t="shared" si="14"/>
        <v>0.75134345243706968</v>
      </c>
    </row>
    <row r="62" spans="1:25" x14ac:dyDescent="0.25">
      <c r="A62">
        <v>1</v>
      </c>
      <c r="J62">
        <v>2</v>
      </c>
      <c r="U62" s="82" t="s">
        <v>154</v>
      </c>
      <c r="V62" s="7">
        <v>0.55700000000000005</v>
      </c>
      <c r="W62">
        <f t="shared" si="12"/>
        <v>0.17350000000000004</v>
      </c>
      <c r="X62">
        <f t="shared" si="13"/>
        <v>8.8007919298576431E-2</v>
      </c>
      <c r="Y62">
        <f t="shared" si="14"/>
        <v>0.61605543509003502</v>
      </c>
    </row>
    <row r="63" spans="1:25" x14ac:dyDescent="0.25">
      <c r="U63" s="82" t="s">
        <v>155</v>
      </c>
      <c r="V63" s="7">
        <v>0.56999999999999995</v>
      </c>
      <c r="W63">
        <f t="shared" si="12"/>
        <v>0.18649999999999994</v>
      </c>
      <c r="X63">
        <f t="shared" si="13"/>
        <v>9.4135947958895044E-2</v>
      </c>
      <c r="Y63">
        <f t="shared" si="14"/>
        <v>0.65895163571226534</v>
      </c>
    </row>
    <row r="64" spans="1:25" x14ac:dyDescent="0.25">
      <c r="U64" s="82" t="s">
        <v>156</v>
      </c>
      <c r="V64" s="6">
        <v>0.65200000000000002</v>
      </c>
      <c r="W64">
        <f t="shared" si="12"/>
        <v>0.26850000000000002</v>
      </c>
      <c r="X64">
        <f t="shared" si="13"/>
        <v>0.13278966720090507</v>
      </c>
      <c r="Y64">
        <f t="shared" si="14"/>
        <v>0.92952767040633555</v>
      </c>
    </row>
    <row r="65" spans="1:25" x14ac:dyDescent="0.25">
      <c r="T65">
        <v>4</v>
      </c>
      <c r="U65" t="s">
        <v>0</v>
      </c>
      <c r="V65" t="s">
        <v>221</v>
      </c>
      <c r="W65" t="s">
        <v>222</v>
      </c>
      <c r="X65" t="s">
        <v>223</v>
      </c>
      <c r="Y65" t="s">
        <v>224</v>
      </c>
    </row>
    <row r="66" spans="1:25" x14ac:dyDescent="0.25">
      <c r="U66" s="82" t="s">
        <v>136</v>
      </c>
      <c r="V66" s="13">
        <v>0.68799999999999994</v>
      </c>
      <c r="W66">
        <f>V66-Q$21</f>
        <v>0.34149999999999991</v>
      </c>
      <c r="X66">
        <f>(W66-0.0565)/1.3813</f>
        <v>0.20632737276478674</v>
      </c>
      <c r="Y66">
        <f>X66*7</f>
        <v>1.4442916093535072</v>
      </c>
    </row>
    <row r="67" spans="1:25" x14ac:dyDescent="0.25">
      <c r="U67" s="82" t="s">
        <v>138</v>
      </c>
      <c r="V67" s="10">
        <v>0.81299999999999994</v>
      </c>
      <c r="W67">
        <f t="shared" ref="W67:W85" si="15">V67-Q$21</f>
        <v>0.46649999999999991</v>
      </c>
      <c r="X67">
        <f t="shared" ref="X67:X85" si="16">(W67-0.0565)/1.3813</f>
        <v>0.29682183450372834</v>
      </c>
      <c r="Y67">
        <f t="shared" ref="Y67:Y85" si="17">X67*7</f>
        <v>2.0777528415260984</v>
      </c>
    </row>
    <row r="68" spans="1:25" x14ac:dyDescent="0.25">
      <c r="U68" s="82" t="s">
        <v>139</v>
      </c>
      <c r="V68" s="8">
        <v>0.63700000000000001</v>
      </c>
      <c r="W68">
        <f t="shared" si="15"/>
        <v>0.29049999999999998</v>
      </c>
      <c r="X68">
        <f t="shared" si="16"/>
        <v>0.16940563237529863</v>
      </c>
      <c r="Y68">
        <f t="shared" si="17"/>
        <v>1.1858394266270904</v>
      </c>
    </row>
    <row r="69" spans="1:25" x14ac:dyDescent="0.25">
      <c r="U69" s="82" t="s">
        <v>140</v>
      </c>
      <c r="V69" s="8">
        <v>0.64600000000000002</v>
      </c>
      <c r="W69">
        <f t="shared" si="15"/>
        <v>0.29949999999999999</v>
      </c>
      <c r="X69">
        <f t="shared" si="16"/>
        <v>0.17592123362050244</v>
      </c>
      <c r="Y69">
        <f t="shared" si="17"/>
        <v>1.231448635343517</v>
      </c>
    </row>
    <row r="70" spans="1:25" x14ac:dyDescent="0.25">
      <c r="U70" s="82" t="s">
        <v>141</v>
      </c>
      <c r="V70" s="10">
        <v>0.79400000000000004</v>
      </c>
      <c r="W70">
        <f t="shared" si="15"/>
        <v>0.44750000000000001</v>
      </c>
      <c r="X70">
        <f t="shared" si="16"/>
        <v>0.28306667631940929</v>
      </c>
      <c r="Y70">
        <f t="shared" si="17"/>
        <v>1.9814667342358652</v>
      </c>
    </row>
    <row r="71" spans="1:25" x14ac:dyDescent="0.25">
      <c r="U71" s="82" t="s">
        <v>142</v>
      </c>
      <c r="V71" s="13">
        <v>0.70199999999999996</v>
      </c>
      <c r="W71">
        <f t="shared" si="15"/>
        <v>0.35549999999999993</v>
      </c>
      <c r="X71">
        <f t="shared" si="16"/>
        <v>0.21646275247954821</v>
      </c>
      <c r="Y71">
        <f t="shared" si="17"/>
        <v>1.5152392673568376</v>
      </c>
    </row>
    <row r="72" spans="1:25" x14ac:dyDescent="0.25">
      <c r="U72" s="82" t="s">
        <v>143</v>
      </c>
      <c r="V72" s="15">
        <v>0.74</v>
      </c>
      <c r="W72">
        <f t="shared" si="15"/>
        <v>0.39349999999999996</v>
      </c>
      <c r="X72">
        <f t="shared" si="16"/>
        <v>0.24397306884818648</v>
      </c>
      <c r="Y72">
        <f t="shared" si="17"/>
        <v>1.7078114819373054</v>
      </c>
    </row>
    <row r="73" spans="1:25" x14ac:dyDescent="0.25">
      <c r="U73" s="82" t="s">
        <v>144</v>
      </c>
      <c r="V73" s="13">
        <v>0.66300000000000003</v>
      </c>
      <c r="W73">
        <f t="shared" si="15"/>
        <v>0.3165</v>
      </c>
      <c r="X73">
        <f t="shared" si="16"/>
        <v>0.18822848041699849</v>
      </c>
      <c r="Y73">
        <f t="shared" si="17"/>
        <v>1.3175993629189895</v>
      </c>
    </row>
    <row r="74" spans="1:25" x14ac:dyDescent="0.25">
      <c r="U74" s="82" t="s">
        <v>145</v>
      </c>
      <c r="V74" s="10">
        <v>0.79800000000000004</v>
      </c>
      <c r="W74">
        <f t="shared" si="15"/>
        <v>0.45150000000000001</v>
      </c>
      <c r="X74">
        <f t="shared" si="16"/>
        <v>0.28596249909505539</v>
      </c>
      <c r="Y74">
        <f t="shared" si="17"/>
        <v>2.0017374936653876</v>
      </c>
    </row>
    <row r="75" spans="1:25" x14ac:dyDescent="0.25">
      <c r="U75" s="82" t="s">
        <v>146</v>
      </c>
      <c r="V75" s="13">
        <v>0.66400000000000003</v>
      </c>
      <c r="W75">
        <f t="shared" si="15"/>
        <v>0.3175</v>
      </c>
      <c r="X75">
        <f t="shared" si="16"/>
        <v>0.18895243611091003</v>
      </c>
      <c r="Y75">
        <f t="shared" si="17"/>
        <v>1.3226670527763702</v>
      </c>
    </row>
    <row r="76" spans="1:25" x14ac:dyDescent="0.25">
      <c r="U76" s="82" t="s">
        <v>147</v>
      </c>
      <c r="V76" s="15">
        <v>0.72599999999999998</v>
      </c>
      <c r="W76">
        <f t="shared" si="15"/>
        <v>0.37949999999999995</v>
      </c>
      <c r="X76">
        <f t="shared" si="16"/>
        <v>0.23383768913342501</v>
      </c>
      <c r="Y76">
        <f t="shared" si="17"/>
        <v>1.636863823933975</v>
      </c>
    </row>
    <row r="77" spans="1:25" x14ac:dyDescent="0.25">
      <c r="U77" s="82" t="s">
        <v>148</v>
      </c>
      <c r="V77" s="13">
        <v>0.68200000000000005</v>
      </c>
      <c r="W77">
        <f t="shared" si="15"/>
        <v>0.33550000000000002</v>
      </c>
      <c r="X77">
        <f t="shared" si="16"/>
        <v>0.20198363860131763</v>
      </c>
      <c r="Y77">
        <f t="shared" si="17"/>
        <v>1.4138854702092234</v>
      </c>
    </row>
    <row r="78" spans="1:25" x14ac:dyDescent="0.25">
      <c r="U78" s="82" t="s">
        <v>149</v>
      </c>
      <c r="V78" s="13">
        <v>0.69599999999999995</v>
      </c>
      <c r="W78">
        <f t="shared" si="15"/>
        <v>0.34949999999999992</v>
      </c>
      <c r="X78">
        <f t="shared" si="16"/>
        <v>0.21211901831607902</v>
      </c>
      <c r="Y78">
        <f t="shared" si="17"/>
        <v>1.4848331282125531</v>
      </c>
    </row>
    <row r="79" spans="1:25" x14ac:dyDescent="0.25">
      <c r="U79" s="82" t="s">
        <v>150</v>
      </c>
      <c r="V79" s="8">
        <v>0.61299999999999999</v>
      </c>
      <c r="W79">
        <f t="shared" si="15"/>
        <v>0.26649999999999996</v>
      </c>
      <c r="X79">
        <f t="shared" si="16"/>
        <v>0.15203069572142183</v>
      </c>
      <c r="Y79">
        <f t="shared" si="17"/>
        <v>1.0642148700499527</v>
      </c>
    </row>
    <row r="80" spans="1:25" x14ac:dyDescent="0.25">
      <c r="A80">
        <v>3</v>
      </c>
      <c r="J80">
        <v>4</v>
      </c>
      <c r="U80" s="82" t="s">
        <v>151</v>
      </c>
      <c r="V80" s="15">
        <v>0.73199999999999998</v>
      </c>
      <c r="W80">
        <f t="shared" si="15"/>
        <v>0.38549999999999995</v>
      </c>
      <c r="X80">
        <f t="shared" si="16"/>
        <v>0.23818142329689421</v>
      </c>
      <c r="Y80">
        <f t="shared" si="17"/>
        <v>1.6672699630782595</v>
      </c>
    </row>
    <row r="81" spans="20:25" x14ac:dyDescent="0.25">
      <c r="U81" s="82" t="s">
        <v>152</v>
      </c>
      <c r="V81" s="15">
        <v>0.753</v>
      </c>
      <c r="W81">
        <f t="shared" si="15"/>
        <v>0.40649999999999997</v>
      </c>
      <c r="X81">
        <f t="shared" si="16"/>
        <v>0.25338449286903642</v>
      </c>
      <c r="Y81">
        <f t="shared" si="17"/>
        <v>1.773691450083255</v>
      </c>
    </row>
    <row r="82" spans="20:25" x14ac:dyDescent="0.25">
      <c r="U82" s="82" t="s">
        <v>153</v>
      </c>
      <c r="V82" s="8">
        <v>0.61899999999999999</v>
      </c>
      <c r="W82">
        <f t="shared" si="15"/>
        <v>0.27249999999999996</v>
      </c>
      <c r="X82">
        <f t="shared" si="16"/>
        <v>0.15637442988489103</v>
      </c>
      <c r="Y82">
        <f t="shared" si="17"/>
        <v>1.0946210091942372</v>
      </c>
    </row>
    <row r="83" spans="20:25" x14ac:dyDescent="0.25">
      <c r="U83" s="82" t="s">
        <v>154</v>
      </c>
      <c r="V83" s="13">
        <v>0.67800000000000005</v>
      </c>
      <c r="W83">
        <f t="shared" si="15"/>
        <v>0.33150000000000002</v>
      </c>
      <c r="X83">
        <f t="shared" si="16"/>
        <v>0.19908781582567148</v>
      </c>
      <c r="Y83">
        <f t="shared" si="17"/>
        <v>1.3936147107797003</v>
      </c>
    </row>
    <row r="84" spans="20:25" x14ac:dyDescent="0.25">
      <c r="U84" s="82" t="s">
        <v>155</v>
      </c>
      <c r="V84" s="10">
        <v>0.77</v>
      </c>
      <c r="W84">
        <f t="shared" si="15"/>
        <v>0.42349999999999999</v>
      </c>
      <c r="X84">
        <f t="shared" si="16"/>
        <v>0.26569173966553244</v>
      </c>
      <c r="Y84">
        <f t="shared" si="17"/>
        <v>1.8598421776587271</v>
      </c>
    </row>
    <row r="85" spans="20:25" x14ac:dyDescent="0.25">
      <c r="U85" s="82" t="s">
        <v>156</v>
      </c>
      <c r="V85" s="8">
        <v>0.626</v>
      </c>
      <c r="W85">
        <f t="shared" si="15"/>
        <v>0.27949999999999997</v>
      </c>
      <c r="X85">
        <f t="shared" si="16"/>
        <v>0.16144211974227177</v>
      </c>
      <c r="Y85">
        <f t="shared" si="17"/>
        <v>1.1300948381959024</v>
      </c>
    </row>
    <row r="86" spans="20:25" x14ac:dyDescent="0.25">
      <c r="T86">
        <v>5</v>
      </c>
      <c r="U86" t="s">
        <v>0</v>
      </c>
      <c r="V86" t="s">
        <v>221</v>
      </c>
      <c r="W86" t="s">
        <v>222</v>
      </c>
      <c r="X86" t="s">
        <v>223</v>
      </c>
      <c r="Y86" t="s">
        <v>224</v>
      </c>
    </row>
    <row r="87" spans="20:25" x14ac:dyDescent="0.25">
      <c r="U87" s="82" t="s">
        <v>136</v>
      </c>
      <c r="V87" s="15">
        <v>0.72499999999999998</v>
      </c>
      <c r="W87">
        <f>V87-Q$27</f>
        <v>0.39149999999999996</v>
      </c>
      <c r="X87">
        <f>(W87-0.0631)/1.3187</f>
        <v>0.24903313869720178</v>
      </c>
      <c r="Y87">
        <f>X87*7</f>
        <v>1.7432319708804125</v>
      </c>
    </row>
    <row r="88" spans="20:25" x14ac:dyDescent="0.25">
      <c r="U88" s="82" t="s">
        <v>138</v>
      </c>
      <c r="V88" s="10">
        <v>0.753</v>
      </c>
      <c r="W88">
        <f t="shared" ref="W88:W106" si="18">V88-Q$27</f>
        <v>0.41949999999999998</v>
      </c>
      <c r="X88">
        <f t="shared" ref="X88:X106" si="19">(W88-0.0631)/1.3187</f>
        <v>0.2702661712292409</v>
      </c>
      <c r="Y88">
        <f t="shared" ref="Y88:Y106" si="20">X88*7</f>
        <v>1.8918631986046863</v>
      </c>
    </row>
    <row r="89" spans="20:25" x14ac:dyDescent="0.25">
      <c r="U89" s="82" t="s">
        <v>139</v>
      </c>
      <c r="V89" s="8">
        <v>0.621</v>
      </c>
      <c r="W89">
        <f t="shared" si="18"/>
        <v>0.28749999999999998</v>
      </c>
      <c r="X89">
        <f t="shared" si="19"/>
        <v>0.17016758929248502</v>
      </c>
      <c r="Y89">
        <f t="shared" si="20"/>
        <v>1.1911731250473951</v>
      </c>
    </row>
    <row r="90" spans="20:25" x14ac:dyDescent="0.25">
      <c r="U90" s="82" t="s">
        <v>140</v>
      </c>
      <c r="V90" s="8">
        <v>0.63300000000000001</v>
      </c>
      <c r="W90">
        <f t="shared" si="18"/>
        <v>0.29949999999999999</v>
      </c>
      <c r="X90">
        <f t="shared" si="19"/>
        <v>0.17926746037764466</v>
      </c>
      <c r="Y90">
        <f t="shared" si="20"/>
        <v>1.2548722226435125</v>
      </c>
    </row>
    <row r="91" spans="20:25" x14ac:dyDescent="0.25">
      <c r="U91" s="82" t="s">
        <v>141</v>
      </c>
      <c r="V91" s="10">
        <v>0.79</v>
      </c>
      <c r="W91">
        <f t="shared" si="18"/>
        <v>0.45650000000000002</v>
      </c>
      <c r="X91">
        <f t="shared" si="19"/>
        <v>0.29832410707514978</v>
      </c>
      <c r="Y91">
        <f t="shared" si="20"/>
        <v>2.0882687495260486</v>
      </c>
    </row>
    <row r="92" spans="20:25" x14ac:dyDescent="0.25">
      <c r="U92" s="82" t="s">
        <v>142</v>
      </c>
      <c r="V92" s="10">
        <v>0.77500000000000002</v>
      </c>
      <c r="W92">
        <f t="shared" si="18"/>
        <v>0.4415</v>
      </c>
      <c r="X92">
        <f t="shared" si="19"/>
        <v>0.28694926821870026</v>
      </c>
      <c r="Y92">
        <f t="shared" si="20"/>
        <v>2.0086448775309016</v>
      </c>
    </row>
    <row r="93" spans="20:25" x14ac:dyDescent="0.25">
      <c r="U93" s="82" t="s">
        <v>143</v>
      </c>
      <c r="V93" s="5">
        <v>0.54900000000000004</v>
      </c>
      <c r="W93">
        <f t="shared" si="18"/>
        <v>0.21550000000000002</v>
      </c>
      <c r="X93">
        <f t="shared" si="19"/>
        <v>0.1155683627815273</v>
      </c>
      <c r="Y93">
        <f t="shared" si="20"/>
        <v>0.80897853947069109</v>
      </c>
    </row>
    <row r="94" spans="20:25" x14ac:dyDescent="0.25">
      <c r="U94" s="82" t="s">
        <v>144</v>
      </c>
      <c r="V94" s="15">
        <v>0.71099999999999997</v>
      </c>
      <c r="W94">
        <f t="shared" si="18"/>
        <v>0.37749999999999995</v>
      </c>
      <c r="X94">
        <f t="shared" si="19"/>
        <v>0.2384166224311822</v>
      </c>
      <c r="Y94">
        <f t="shared" si="20"/>
        <v>1.6689163570182755</v>
      </c>
    </row>
    <row r="95" spans="20:25" x14ac:dyDescent="0.25">
      <c r="U95" s="82" t="s">
        <v>145</v>
      </c>
      <c r="V95" s="10">
        <v>0.76100000000000001</v>
      </c>
      <c r="W95">
        <f t="shared" si="18"/>
        <v>0.42749999999999999</v>
      </c>
      <c r="X95">
        <f t="shared" si="19"/>
        <v>0.2763327519526807</v>
      </c>
      <c r="Y95">
        <f t="shared" si="20"/>
        <v>1.934329263668765</v>
      </c>
    </row>
    <row r="96" spans="20:25" x14ac:dyDescent="0.25">
      <c r="U96" s="82" t="s">
        <v>146</v>
      </c>
      <c r="V96" s="15">
        <v>0.70599999999999996</v>
      </c>
      <c r="W96">
        <f t="shared" si="18"/>
        <v>0.37249999999999994</v>
      </c>
      <c r="X96">
        <f t="shared" si="19"/>
        <v>0.23462500947903234</v>
      </c>
      <c r="Y96">
        <f t="shared" si="20"/>
        <v>1.6423750663532264</v>
      </c>
    </row>
    <row r="97" spans="1:25" x14ac:dyDescent="0.25">
      <c r="A97">
        <v>5</v>
      </c>
      <c r="J97">
        <v>6</v>
      </c>
      <c r="U97" s="82" t="s">
        <v>147</v>
      </c>
      <c r="V97" s="8">
        <v>0.63900000000000001</v>
      </c>
      <c r="W97">
        <f t="shared" si="18"/>
        <v>0.30549999999999999</v>
      </c>
      <c r="X97">
        <f t="shared" si="19"/>
        <v>0.18381739592022447</v>
      </c>
      <c r="Y97">
        <f t="shared" si="20"/>
        <v>1.2867217714415713</v>
      </c>
    </row>
    <row r="98" spans="1:25" x14ac:dyDescent="0.25">
      <c r="U98" s="82" t="s">
        <v>148</v>
      </c>
      <c r="V98" s="8">
        <v>0.61299999999999999</v>
      </c>
      <c r="W98">
        <f t="shared" si="18"/>
        <v>0.27949999999999997</v>
      </c>
      <c r="X98">
        <f t="shared" si="19"/>
        <v>0.16410100856904525</v>
      </c>
      <c r="Y98">
        <f t="shared" si="20"/>
        <v>1.1487070599833167</v>
      </c>
    </row>
    <row r="99" spans="1:25" x14ac:dyDescent="0.25">
      <c r="U99" s="82" t="s">
        <v>149</v>
      </c>
      <c r="V99" s="13">
        <v>0.67100000000000004</v>
      </c>
      <c r="W99">
        <f t="shared" si="18"/>
        <v>0.33750000000000002</v>
      </c>
      <c r="X99">
        <f t="shared" si="19"/>
        <v>0.20808371881398349</v>
      </c>
      <c r="Y99">
        <f t="shared" si="20"/>
        <v>1.4565860316978845</v>
      </c>
    </row>
    <row r="100" spans="1:25" x14ac:dyDescent="0.25">
      <c r="U100" s="82" t="s">
        <v>150</v>
      </c>
      <c r="V100" s="8">
        <v>0.61499999999999999</v>
      </c>
      <c r="W100">
        <f t="shared" si="18"/>
        <v>0.28149999999999997</v>
      </c>
      <c r="X100">
        <f t="shared" si="19"/>
        <v>0.1656176537499052</v>
      </c>
      <c r="Y100">
        <f t="shared" si="20"/>
        <v>1.1593235762493364</v>
      </c>
    </row>
    <row r="101" spans="1:25" x14ac:dyDescent="0.25">
      <c r="U101" s="82" t="s">
        <v>151</v>
      </c>
      <c r="V101" s="15">
        <v>0.747</v>
      </c>
      <c r="W101">
        <f t="shared" si="18"/>
        <v>0.41349999999999998</v>
      </c>
      <c r="X101">
        <f t="shared" si="19"/>
        <v>0.26571623568666108</v>
      </c>
      <c r="Y101">
        <f t="shared" si="20"/>
        <v>1.8600136498066275</v>
      </c>
    </row>
    <row r="102" spans="1:25" x14ac:dyDescent="0.25">
      <c r="U102" s="82" t="s">
        <v>152</v>
      </c>
      <c r="V102" s="10">
        <v>0.752</v>
      </c>
      <c r="W102">
        <f t="shared" si="18"/>
        <v>0.41849999999999998</v>
      </c>
      <c r="X102">
        <f t="shared" si="19"/>
        <v>0.26950784863881094</v>
      </c>
      <c r="Y102">
        <f t="shared" si="20"/>
        <v>1.8865549404716766</v>
      </c>
    </row>
    <row r="103" spans="1:25" x14ac:dyDescent="0.25">
      <c r="U103" s="82" t="s">
        <v>153</v>
      </c>
      <c r="V103" s="8">
        <v>0.64200000000000002</v>
      </c>
      <c r="W103">
        <f t="shared" si="18"/>
        <v>0.3085</v>
      </c>
      <c r="X103">
        <f t="shared" si="19"/>
        <v>0.18609236369151438</v>
      </c>
      <c r="Y103">
        <f t="shared" si="20"/>
        <v>1.3026465458406007</v>
      </c>
    </row>
    <row r="104" spans="1:25" x14ac:dyDescent="0.25">
      <c r="U104" s="82" t="s">
        <v>154</v>
      </c>
      <c r="V104" s="13">
        <v>0.65800000000000003</v>
      </c>
      <c r="W104">
        <f t="shared" si="18"/>
        <v>0.32450000000000001</v>
      </c>
      <c r="X104">
        <f t="shared" si="19"/>
        <v>0.19822552513839389</v>
      </c>
      <c r="Y104">
        <f t="shared" si="20"/>
        <v>1.3875786759687572</v>
      </c>
    </row>
    <row r="105" spans="1:25" x14ac:dyDescent="0.25">
      <c r="U105" s="82" t="s">
        <v>155</v>
      </c>
      <c r="V105" s="10">
        <v>0.76</v>
      </c>
      <c r="W105">
        <f t="shared" si="18"/>
        <v>0.42649999999999999</v>
      </c>
      <c r="X105">
        <f t="shared" si="19"/>
        <v>0.27557442936225068</v>
      </c>
      <c r="Y105">
        <f t="shared" si="20"/>
        <v>1.9290210055357548</v>
      </c>
    </row>
    <row r="106" spans="1:25" x14ac:dyDescent="0.25">
      <c r="U106" s="82" t="s">
        <v>156</v>
      </c>
      <c r="V106" s="15">
        <v>0.69699999999999995</v>
      </c>
      <c r="W106">
        <f t="shared" si="18"/>
        <v>0.36349999999999993</v>
      </c>
      <c r="X106">
        <f t="shared" si="19"/>
        <v>0.22780010616516261</v>
      </c>
      <c r="Y106">
        <f t="shared" si="20"/>
        <v>1.5946007431561382</v>
      </c>
    </row>
    <row r="107" spans="1:25" x14ac:dyDescent="0.25">
      <c r="T107">
        <v>6</v>
      </c>
      <c r="U107" t="s">
        <v>0</v>
      </c>
      <c r="V107" t="s">
        <v>221</v>
      </c>
      <c r="W107" t="s">
        <v>222</v>
      </c>
      <c r="X107" t="s">
        <v>223</v>
      </c>
      <c r="Y107" t="s">
        <v>224</v>
      </c>
    </row>
    <row r="108" spans="1:25" x14ac:dyDescent="0.25">
      <c r="U108" s="82" t="s">
        <v>136</v>
      </c>
      <c r="V108" s="15">
        <v>0.72599999999999998</v>
      </c>
      <c r="W108">
        <f>V108-Q$33</f>
        <v>0.39449999999999996</v>
      </c>
      <c r="X108">
        <f>(W108-0.0627)/1.3429</f>
        <v>0.24707722093975723</v>
      </c>
      <c r="Y108">
        <f>X108*7</f>
        <v>1.7295405465783007</v>
      </c>
    </row>
    <row r="109" spans="1:25" x14ac:dyDescent="0.25">
      <c r="U109" s="82" t="s">
        <v>138</v>
      </c>
      <c r="V109" s="16">
        <v>0.79400000000000004</v>
      </c>
      <c r="W109">
        <f t="shared" ref="W109:W127" si="21">V109-Q$33</f>
        <v>0.46250000000000002</v>
      </c>
      <c r="X109">
        <f t="shared" ref="X109:X127" si="22">(W109-0.0627)/1.3429</f>
        <v>0.2977139027477847</v>
      </c>
      <c r="Y109">
        <f t="shared" ref="Y109:Y127" si="23">X109*7</f>
        <v>2.0839973192344927</v>
      </c>
    </row>
    <row r="110" spans="1:25" x14ac:dyDescent="0.25">
      <c r="U110" s="82" t="s">
        <v>139</v>
      </c>
      <c r="V110" s="13">
        <v>0.66400000000000003</v>
      </c>
      <c r="W110">
        <f t="shared" si="21"/>
        <v>0.33250000000000002</v>
      </c>
      <c r="X110">
        <f t="shared" si="22"/>
        <v>0.20090848164420289</v>
      </c>
      <c r="Y110">
        <f t="shared" si="23"/>
        <v>1.4063593715094203</v>
      </c>
    </row>
    <row r="111" spans="1:25" x14ac:dyDescent="0.25">
      <c r="U111" s="82" t="s">
        <v>140</v>
      </c>
      <c r="V111" s="13">
        <v>0.68600000000000005</v>
      </c>
      <c r="W111">
        <f t="shared" si="21"/>
        <v>0.35450000000000004</v>
      </c>
      <c r="X111">
        <f t="shared" si="22"/>
        <v>0.21729093752327058</v>
      </c>
      <c r="Y111">
        <f t="shared" si="23"/>
        <v>1.5210365626628941</v>
      </c>
    </row>
    <row r="112" spans="1:25" x14ac:dyDescent="0.25">
      <c r="U112" s="82" t="s">
        <v>141</v>
      </c>
      <c r="V112" s="16">
        <v>0.82799999999999996</v>
      </c>
      <c r="W112">
        <f t="shared" si="21"/>
        <v>0.49649999999999994</v>
      </c>
      <c r="X112">
        <f t="shared" si="22"/>
        <v>0.32303224365179833</v>
      </c>
      <c r="Y112">
        <f t="shared" si="23"/>
        <v>2.2612257055625884</v>
      </c>
    </row>
    <row r="113" spans="21:25" x14ac:dyDescent="0.25">
      <c r="U113" s="82" t="s">
        <v>142</v>
      </c>
      <c r="V113" s="10">
        <v>0.76600000000000001</v>
      </c>
      <c r="W113">
        <f t="shared" si="21"/>
        <v>0.4345</v>
      </c>
      <c r="X113">
        <f t="shared" si="22"/>
        <v>0.27686350435624396</v>
      </c>
      <c r="Y113">
        <f t="shared" si="23"/>
        <v>1.9380445304937077</v>
      </c>
    </row>
    <row r="114" spans="21:25" x14ac:dyDescent="0.25">
      <c r="U114" s="82" t="s">
        <v>143</v>
      </c>
      <c r="V114" s="10">
        <v>0.746</v>
      </c>
      <c r="W114">
        <f t="shared" si="21"/>
        <v>0.41449999999999998</v>
      </c>
      <c r="X114">
        <f t="shared" si="22"/>
        <v>0.26197036264800061</v>
      </c>
      <c r="Y114">
        <f t="shared" si="23"/>
        <v>1.8337925385360043</v>
      </c>
    </row>
    <row r="115" spans="21:25" x14ac:dyDescent="0.25">
      <c r="U115" s="82" t="s">
        <v>144</v>
      </c>
      <c r="V115" s="10">
        <v>0.751</v>
      </c>
      <c r="W115">
        <f t="shared" si="21"/>
        <v>0.41949999999999998</v>
      </c>
      <c r="X115">
        <f t="shared" si="22"/>
        <v>0.26569364807506146</v>
      </c>
      <c r="Y115">
        <f t="shared" si="23"/>
        <v>1.8598555365254303</v>
      </c>
    </row>
    <row r="116" spans="21:25" x14ac:dyDescent="0.25">
      <c r="U116" s="82" t="s">
        <v>145</v>
      </c>
      <c r="V116" s="16">
        <v>0.80300000000000005</v>
      </c>
      <c r="W116">
        <f t="shared" si="21"/>
        <v>0.47150000000000003</v>
      </c>
      <c r="X116">
        <f t="shared" si="22"/>
        <v>0.30441581651649419</v>
      </c>
      <c r="Y116">
        <f t="shared" si="23"/>
        <v>2.1309107156154594</v>
      </c>
    </row>
    <row r="117" spans="21:25" x14ac:dyDescent="0.25">
      <c r="U117" s="82" t="s">
        <v>146</v>
      </c>
      <c r="V117" s="15">
        <v>0.72199999999999998</v>
      </c>
      <c r="W117">
        <f t="shared" si="21"/>
        <v>0.39049999999999996</v>
      </c>
      <c r="X117">
        <f t="shared" si="22"/>
        <v>0.24409859259810857</v>
      </c>
      <c r="Y117">
        <f t="shared" si="23"/>
        <v>1.70869014818676</v>
      </c>
    </row>
    <row r="118" spans="21:25" x14ac:dyDescent="0.25">
      <c r="U118" s="82" t="s">
        <v>147</v>
      </c>
      <c r="V118" s="10">
        <v>0.75600000000000001</v>
      </c>
      <c r="W118">
        <f t="shared" si="21"/>
        <v>0.42449999999999999</v>
      </c>
      <c r="X118">
        <f t="shared" si="22"/>
        <v>0.26941693350212226</v>
      </c>
      <c r="Y118">
        <f t="shared" si="23"/>
        <v>1.8859185345148557</v>
      </c>
    </row>
    <row r="119" spans="21:25" x14ac:dyDescent="0.25">
      <c r="U119" s="82" t="s">
        <v>148</v>
      </c>
      <c r="V119" s="13">
        <v>0.68600000000000005</v>
      </c>
      <c r="W119">
        <f t="shared" si="21"/>
        <v>0.35450000000000004</v>
      </c>
      <c r="X119">
        <f t="shared" si="22"/>
        <v>0.21729093752327058</v>
      </c>
      <c r="Y119">
        <f t="shared" si="23"/>
        <v>1.5210365626628941</v>
      </c>
    </row>
    <row r="120" spans="21:25" x14ac:dyDescent="0.25">
      <c r="U120" s="82" t="s">
        <v>149</v>
      </c>
      <c r="V120" s="15">
        <v>0.70199999999999996</v>
      </c>
      <c r="W120">
        <f t="shared" si="21"/>
        <v>0.37049999999999994</v>
      </c>
      <c r="X120">
        <f t="shared" si="22"/>
        <v>0.22920545088986519</v>
      </c>
      <c r="Y120">
        <f t="shared" si="23"/>
        <v>1.6044381562290564</v>
      </c>
    </row>
    <row r="121" spans="21:25" x14ac:dyDescent="0.25">
      <c r="U121" s="82" t="s">
        <v>150</v>
      </c>
      <c r="V121" s="13">
        <v>0.64100000000000001</v>
      </c>
      <c r="W121">
        <f t="shared" si="21"/>
        <v>0.3095</v>
      </c>
      <c r="X121">
        <f t="shared" si="22"/>
        <v>0.18378136867972297</v>
      </c>
      <c r="Y121">
        <f t="shared" si="23"/>
        <v>1.2864695807580608</v>
      </c>
    </row>
    <row r="122" spans="21:25" x14ac:dyDescent="0.25">
      <c r="U122" s="82" t="s">
        <v>151</v>
      </c>
      <c r="V122" s="10">
        <v>0.79100000000000004</v>
      </c>
      <c r="W122">
        <f t="shared" si="21"/>
        <v>0.45950000000000002</v>
      </c>
      <c r="X122">
        <f t="shared" si="22"/>
        <v>0.29547993149154816</v>
      </c>
      <c r="Y122">
        <f t="shared" si="23"/>
        <v>2.0683595204408372</v>
      </c>
    </row>
    <row r="123" spans="21:25" x14ac:dyDescent="0.25">
      <c r="U123" s="82" t="s">
        <v>152</v>
      </c>
      <c r="V123" s="10">
        <v>0.79100000000000004</v>
      </c>
      <c r="W123">
        <f t="shared" si="21"/>
        <v>0.45950000000000002</v>
      </c>
      <c r="X123">
        <f t="shared" si="22"/>
        <v>0.29547993149154816</v>
      </c>
      <c r="Y123">
        <f t="shared" si="23"/>
        <v>2.0683595204408372</v>
      </c>
    </row>
    <row r="124" spans="21:25" x14ac:dyDescent="0.25">
      <c r="U124" s="82" t="s">
        <v>153</v>
      </c>
      <c r="V124" s="8">
        <v>0.625</v>
      </c>
      <c r="W124">
        <f t="shared" si="21"/>
        <v>0.29349999999999998</v>
      </c>
      <c r="X124">
        <f t="shared" si="22"/>
        <v>0.17186685531312829</v>
      </c>
      <c r="Y124">
        <f t="shared" si="23"/>
        <v>1.2030679871918979</v>
      </c>
    </row>
    <row r="125" spans="21:25" x14ac:dyDescent="0.25">
      <c r="U125" s="82" t="s">
        <v>154</v>
      </c>
      <c r="V125" s="8">
        <v>0.61799999999999999</v>
      </c>
      <c r="W125">
        <f t="shared" si="21"/>
        <v>0.28649999999999998</v>
      </c>
      <c r="X125">
        <f t="shared" si="22"/>
        <v>0.16665425571524312</v>
      </c>
      <c r="Y125">
        <f t="shared" si="23"/>
        <v>1.1665797900067019</v>
      </c>
    </row>
    <row r="126" spans="21:25" x14ac:dyDescent="0.25">
      <c r="U126" s="82" t="s">
        <v>155</v>
      </c>
      <c r="V126" s="10">
        <v>0.79</v>
      </c>
      <c r="W126">
        <f t="shared" si="21"/>
        <v>0.45850000000000002</v>
      </c>
      <c r="X126">
        <f t="shared" si="22"/>
        <v>0.29473527440613601</v>
      </c>
      <c r="Y126">
        <f t="shared" si="23"/>
        <v>2.0631469208429518</v>
      </c>
    </row>
    <row r="127" spans="21:25" x14ac:dyDescent="0.25">
      <c r="U127" s="82" t="s">
        <v>156</v>
      </c>
      <c r="V127" s="8">
        <v>0.60299999999999998</v>
      </c>
      <c r="W127">
        <f t="shared" si="21"/>
        <v>0.27149999999999996</v>
      </c>
      <c r="X127">
        <f t="shared" si="22"/>
        <v>0.15548439943406059</v>
      </c>
      <c r="Y127">
        <f t="shared" si="23"/>
        <v>1.088390796038424</v>
      </c>
    </row>
  </sheetData>
  <mergeCells count="2">
    <mergeCell ref="P1:R1"/>
    <mergeCell ref="U1:X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B2CA-9060-453F-8E40-CD8141AEF6D6}">
  <dimension ref="A1:Y130"/>
  <sheetViews>
    <sheetView topLeftCell="K94" workbookViewId="0">
      <selection activeCell="T1" sqref="T1:Y2"/>
    </sheetView>
  </sheetViews>
  <sheetFormatPr defaultRowHeight="15" x14ac:dyDescent="0.25"/>
  <cols>
    <col min="17" max="17" width="19.85546875" customWidth="1"/>
    <col min="18" max="18" width="18.140625" customWidth="1"/>
    <col min="21" max="21" width="11" customWidth="1"/>
    <col min="22" max="22" width="17.85546875" customWidth="1"/>
    <col min="23" max="23" width="19.140625" customWidth="1"/>
    <col min="24" max="24" width="21" customWidth="1"/>
    <col min="25" max="25" width="22.5703125" customWidth="1"/>
  </cols>
  <sheetData>
    <row r="1" spans="1:25" x14ac:dyDescent="0.25">
      <c r="A1">
        <v>1</v>
      </c>
      <c r="P1" s="96" t="s">
        <v>217</v>
      </c>
      <c r="Q1" s="96"/>
      <c r="R1" s="96"/>
      <c r="U1" s="96" t="s">
        <v>218</v>
      </c>
      <c r="V1" s="96"/>
      <c r="W1" s="96"/>
      <c r="X1" s="96"/>
    </row>
    <row r="2" spans="1:25" x14ac:dyDescent="0.25">
      <c r="A2" s="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O2">
        <v>1</v>
      </c>
      <c r="Q2" t="s">
        <v>219</v>
      </c>
      <c r="R2" t="s">
        <v>220</v>
      </c>
      <c r="T2">
        <v>1</v>
      </c>
      <c r="U2" t="s">
        <v>0</v>
      </c>
      <c r="V2" t="s">
        <v>221</v>
      </c>
      <c r="W2" t="s">
        <v>222</v>
      </c>
      <c r="X2" t="s">
        <v>223</v>
      </c>
      <c r="Y2" t="s">
        <v>224</v>
      </c>
    </row>
    <row r="3" spans="1:25" x14ac:dyDescent="0.25">
      <c r="A3" s="2" t="s">
        <v>118</v>
      </c>
      <c r="B3" s="3">
        <v>0.45100000000000001</v>
      </c>
      <c r="C3" s="3">
        <v>0.39100000000000001</v>
      </c>
      <c r="D3" s="4"/>
      <c r="E3" s="6">
        <v>0.61099999999999999</v>
      </c>
      <c r="F3" s="5">
        <v>0.67700000000000005</v>
      </c>
      <c r="G3" s="8">
        <v>0.73799999999999999</v>
      </c>
      <c r="H3" s="6">
        <v>0.63900000000000001</v>
      </c>
      <c r="I3" s="7">
        <v>0.53800000000000003</v>
      </c>
      <c r="J3" s="8">
        <v>0.74</v>
      </c>
      <c r="K3" s="6">
        <v>0.621</v>
      </c>
      <c r="L3" s="5">
        <v>0.72</v>
      </c>
      <c r="M3" s="13">
        <v>0.80100000000000005</v>
      </c>
      <c r="P3">
        <v>0</v>
      </c>
      <c r="Q3">
        <f>AVERAGE(B3:C3)</f>
        <v>0.42100000000000004</v>
      </c>
      <c r="R3">
        <f>Q3-Q$3</f>
        <v>0</v>
      </c>
      <c r="U3" t="s">
        <v>157</v>
      </c>
      <c r="V3" s="6">
        <v>0.61099999999999999</v>
      </c>
      <c r="W3">
        <f>V3-Q$3</f>
        <v>0.18999999999999995</v>
      </c>
      <c r="X3">
        <f>(W3-0.0294)/1.7052</f>
        <v>9.4182500586441439E-2</v>
      </c>
      <c r="Y3">
        <f>X3*7</f>
        <v>0.65927750410509012</v>
      </c>
    </row>
    <row r="4" spans="1:25" x14ac:dyDescent="0.25">
      <c r="A4" s="2" t="s">
        <v>120</v>
      </c>
      <c r="B4" s="7">
        <v>0.55900000000000005</v>
      </c>
      <c r="C4" s="9">
        <v>0.51800000000000002</v>
      </c>
      <c r="D4" s="4"/>
      <c r="E4" s="4"/>
      <c r="F4" s="4"/>
      <c r="G4" s="4"/>
      <c r="H4" s="4"/>
      <c r="I4" s="4"/>
      <c r="J4" s="4"/>
      <c r="K4" s="4"/>
      <c r="L4" s="4"/>
      <c r="M4" s="4"/>
      <c r="P4">
        <v>0.05</v>
      </c>
      <c r="Q4">
        <f>AVERAGE(B4:C4)</f>
        <v>0.53849999999999998</v>
      </c>
      <c r="R4">
        <f t="shared" ref="R4:R7" si="0">Q4-Q$3</f>
        <v>0.11749999999999994</v>
      </c>
      <c r="U4" t="s">
        <v>159</v>
      </c>
      <c r="V4" s="5">
        <v>0.67700000000000005</v>
      </c>
      <c r="W4">
        <f t="shared" ref="W4:W23" si="1">V4-Q$3</f>
        <v>0.25600000000000001</v>
      </c>
      <c r="X4">
        <f t="shared" ref="X4:X23" si="2">(W4-0.0294)/1.7052</f>
        <v>0.13288763781374618</v>
      </c>
      <c r="Y4">
        <f t="shared" ref="Y4:Y23" si="3">X4*7</f>
        <v>0.93021346469622324</v>
      </c>
    </row>
    <row r="5" spans="1:25" x14ac:dyDescent="0.25">
      <c r="A5" s="2" t="s">
        <v>76</v>
      </c>
      <c r="B5" s="4"/>
      <c r="C5" s="4"/>
      <c r="D5" s="4"/>
      <c r="E5" s="5">
        <v>0.67300000000000004</v>
      </c>
      <c r="F5" s="8">
        <v>0.76200000000000001</v>
      </c>
      <c r="G5" s="8">
        <v>0.77800000000000002</v>
      </c>
      <c r="H5" s="5">
        <v>0.67900000000000005</v>
      </c>
      <c r="I5" s="8">
        <v>0.73599999999999999</v>
      </c>
      <c r="J5" s="8">
        <v>0.78700000000000003</v>
      </c>
      <c r="K5" s="5">
        <v>0.71499999999999997</v>
      </c>
      <c r="L5" s="5">
        <v>0.70099999999999996</v>
      </c>
      <c r="M5" s="7">
        <v>0.53300000000000003</v>
      </c>
      <c r="P5">
        <v>0.1</v>
      </c>
      <c r="Q5">
        <f>AVERAGE(B6:C6)</f>
        <v>0.63100000000000001</v>
      </c>
      <c r="R5">
        <f t="shared" si="0"/>
        <v>0.20999999999999996</v>
      </c>
      <c r="U5" t="s">
        <v>160</v>
      </c>
      <c r="V5" s="8">
        <v>0.73799999999999999</v>
      </c>
      <c r="W5">
        <f t="shared" si="1"/>
        <v>0.31699999999999995</v>
      </c>
      <c r="X5">
        <f t="shared" si="2"/>
        <v>0.16866056767534598</v>
      </c>
      <c r="Y5">
        <f t="shared" si="3"/>
        <v>1.180623973727422</v>
      </c>
    </row>
    <row r="6" spans="1:25" x14ac:dyDescent="0.25">
      <c r="A6" s="2" t="s">
        <v>121</v>
      </c>
      <c r="B6" s="6">
        <v>0.61699999999999999</v>
      </c>
      <c r="C6" s="6">
        <v>0.64500000000000002</v>
      </c>
      <c r="D6" s="4"/>
      <c r="E6" s="4"/>
      <c r="F6" s="4"/>
      <c r="G6" s="4"/>
      <c r="H6" s="4"/>
      <c r="I6" s="4"/>
      <c r="J6" s="4"/>
      <c r="K6" s="4"/>
      <c r="L6" s="4"/>
      <c r="M6" s="4"/>
      <c r="P6">
        <v>0.25</v>
      </c>
      <c r="Q6">
        <f>AVERAGE(B8:C8)</f>
        <v>0.91400000000000003</v>
      </c>
      <c r="R6">
        <f t="shared" si="0"/>
        <v>0.49299999999999999</v>
      </c>
      <c r="U6" t="s">
        <v>161</v>
      </c>
      <c r="V6" s="6">
        <v>0.63900000000000001</v>
      </c>
      <c r="W6">
        <f t="shared" si="1"/>
        <v>0.21799999999999997</v>
      </c>
      <c r="X6">
        <f t="shared" si="2"/>
        <v>0.1106028618343889</v>
      </c>
      <c r="Y6">
        <f t="shared" si="3"/>
        <v>0.77422003284072227</v>
      </c>
    </row>
    <row r="7" spans="1:25" x14ac:dyDescent="0.25">
      <c r="A7" s="2" t="s">
        <v>122</v>
      </c>
      <c r="B7" s="4"/>
      <c r="C7" s="4"/>
      <c r="D7" s="4"/>
      <c r="E7" s="6">
        <v>0.63800000000000001</v>
      </c>
      <c r="F7" s="10">
        <v>0.97599999999999998</v>
      </c>
      <c r="G7" s="13">
        <v>0.82</v>
      </c>
      <c r="H7" s="4"/>
      <c r="I7" s="4"/>
      <c r="J7" s="4"/>
      <c r="K7" s="4"/>
      <c r="L7" s="4"/>
      <c r="M7" s="4"/>
      <c r="P7">
        <v>0.5</v>
      </c>
      <c r="Q7">
        <f>AVERAGE(B10:C10)</f>
        <v>1.282</v>
      </c>
      <c r="R7">
        <f t="shared" si="0"/>
        <v>0.86099999999999999</v>
      </c>
      <c r="U7" t="s">
        <v>162</v>
      </c>
      <c r="V7" s="7">
        <v>0.53800000000000003</v>
      </c>
      <c r="W7">
        <f t="shared" si="1"/>
        <v>0.11699999999999999</v>
      </c>
      <c r="X7">
        <f t="shared" si="2"/>
        <v>5.1372273047149891E-2</v>
      </c>
      <c r="Y7">
        <f t="shared" si="3"/>
        <v>0.35960591133004927</v>
      </c>
    </row>
    <row r="8" spans="1:25" x14ac:dyDescent="0.25">
      <c r="A8" s="2" t="s">
        <v>123</v>
      </c>
      <c r="B8" s="15">
        <v>0.90800000000000003</v>
      </c>
      <c r="C8" s="15">
        <v>0.92</v>
      </c>
      <c r="D8" s="4"/>
      <c r="E8" s="4"/>
      <c r="F8" s="4"/>
      <c r="G8" s="4"/>
      <c r="H8" s="4"/>
      <c r="I8" s="4"/>
      <c r="J8" s="4"/>
      <c r="K8" s="4"/>
      <c r="L8" s="4"/>
      <c r="M8" s="4"/>
      <c r="O8">
        <v>2</v>
      </c>
      <c r="U8" t="s">
        <v>163</v>
      </c>
      <c r="V8" s="8">
        <v>0.74</v>
      </c>
      <c r="W8">
        <f t="shared" si="1"/>
        <v>0.31899999999999995</v>
      </c>
      <c r="X8">
        <f t="shared" si="2"/>
        <v>0.16983345062162794</v>
      </c>
      <c r="Y8">
        <f t="shared" si="3"/>
        <v>1.1888341543513956</v>
      </c>
    </row>
    <row r="9" spans="1:25" x14ac:dyDescent="0.25">
      <c r="A9" s="2" t="s">
        <v>124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P9">
        <v>0</v>
      </c>
      <c r="Q9">
        <f>AVERAGE(B13:C13)</f>
        <v>0.3765</v>
      </c>
      <c r="R9">
        <f>Q9-Q$9</f>
        <v>0</v>
      </c>
      <c r="U9" t="s">
        <v>164</v>
      </c>
      <c r="V9" s="6">
        <v>0.621</v>
      </c>
      <c r="W9">
        <f t="shared" si="1"/>
        <v>0.19999999999999996</v>
      </c>
      <c r="X9">
        <f t="shared" si="2"/>
        <v>0.10004691531785125</v>
      </c>
      <c r="Y9">
        <f t="shared" si="3"/>
        <v>0.7003284072249587</v>
      </c>
    </row>
    <row r="10" spans="1:25" x14ac:dyDescent="0.25">
      <c r="A10" s="2" t="s">
        <v>125</v>
      </c>
      <c r="B10" s="14">
        <v>1.2170000000000001</v>
      </c>
      <c r="C10" s="11">
        <v>1.347</v>
      </c>
      <c r="D10" s="4"/>
      <c r="E10" s="4"/>
      <c r="F10" s="4"/>
      <c r="G10" s="4"/>
      <c r="H10" s="4"/>
      <c r="I10" s="4"/>
      <c r="J10" s="4"/>
      <c r="K10" s="4"/>
      <c r="L10" s="4"/>
      <c r="M10" s="4"/>
      <c r="P10">
        <v>0.05</v>
      </c>
      <c r="Q10">
        <f>AVERAGE(B14:C14)</f>
        <v>0.5515000000000001</v>
      </c>
      <c r="R10">
        <f t="shared" ref="R10:R13" si="4">Q10-Q$9</f>
        <v>0.1750000000000001</v>
      </c>
      <c r="U10" t="s">
        <v>166</v>
      </c>
      <c r="V10" s="5">
        <v>0.72</v>
      </c>
      <c r="W10">
        <f t="shared" si="1"/>
        <v>0.29899999999999993</v>
      </c>
      <c r="X10">
        <f t="shared" si="2"/>
        <v>0.15810462115880833</v>
      </c>
      <c r="Y10">
        <f t="shared" si="3"/>
        <v>1.1067323481116582</v>
      </c>
    </row>
    <row r="11" spans="1:25" x14ac:dyDescent="0.25">
      <c r="A11">
        <v>2</v>
      </c>
      <c r="P11">
        <v>0.1</v>
      </c>
      <c r="Q11">
        <f>AVERAGE(B16:C16)</f>
        <v>0.54500000000000004</v>
      </c>
      <c r="R11">
        <f t="shared" si="4"/>
        <v>0.16850000000000004</v>
      </c>
      <c r="U11" t="s">
        <v>167</v>
      </c>
      <c r="V11" s="13">
        <v>0.80100000000000005</v>
      </c>
      <c r="W11">
        <f t="shared" si="1"/>
        <v>0.38</v>
      </c>
      <c r="X11">
        <f t="shared" si="2"/>
        <v>0.20560638048322777</v>
      </c>
      <c r="Y11">
        <f t="shared" si="3"/>
        <v>1.4392446633825944</v>
      </c>
    </row>
    <row r="12" spans="1:25" x14ac:dyDescent="0.25">
      <c r="A12" s="12"/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P12">
        <v>0.25</v>
      </c>
      <c r="Q12">
        <f>AVERAGE(B18:C18)</f>
        <v>0.87949999999999995</v>
      </c>
      <c r="R12">
        <f t="shared" si="4"/>
        <v>0.50299999999999989</v>
      </c>
      <c r="U12" t="s">
        <v>169</v>
      </c>
      <c r="V12" s="5">
        <v>0.67300000000000004</v>
      </c>
      <c r="W12">
        <f t="shared" si="1"/>
        <v>0.252</v>
      </c>
      <c r="X12">
        <f t="shared" si="2"/>
        <v>0.13054187192118225</v>
      </c>
      <c r="Y12">
        <f t="shared" si="3"/>
        <v>0.91379310344827569</v>
      </c>
    </row>
    <row r="13" spans="1:25" x14ac:dyDescent="0.25">
      <c r="A13" s="2" t="s">
        <v>118</v>
      </c>
      <c r="B13" s="3">
        <v>0.34799999999999998</v>
      </c>
      <c r="C13" s="3">
        <v>0.40500000000000003</v>
      </c>
      <c r="D13" s="4"/>
      <c r="E13" s="6">
        <v>0.59</v>
      </c>
      <c r="F13" s="5">
        <v>0.67600000000000005</v>
      </c>
      <c r="G13" s="5">
        <v>0.67900000000000005</v>
      </c>
      <c r="H13" s="5">
        <v>0.68799999999999994</v>
      </c>
      <c r="I13" s="6">
        <v>0.59099999999999997</v>
      </c>
      <c r="J13" s="5">
        <v>0.66800000000000004</v>
      </c>
      <c r="K13" s="7">
        <v>0.57899999999999996</v>
      </c>
      <c r="L13" s="5">
        <v>0.70899999999999996</v>
      </c>
      <c r="M13" s="5">
        <v>0.71599999999999997</v>
      </c>
      <c r="P13">
        <v>0.5</v>
      </c>
      <c r="Q13">
        <f>AVERAGE(B20:C20)</f>
        <v>1.4184999999999999</v>
      </c>
      <c r="R13">
        <f t="shared" si="4"/>
        <v>1.0419999999999998</v>
      </c>
      <c r="U13" t="s">
        <v>170</v>
      </c>
      <c r="V13" s="8">
        <v>0.76200000000000001</v>
      </c>
      <c r="W13">
        <f t="shared" si="1"/>
        <v>0.34099999999999997</v>
      </c>
      <c r="X13">
        <f t="shared" si="2"/>
        <v>0.18273516303072951</v>
      </c>
      <c r="Y13">
        <f t="shared" si="3"/>
        <v>1.2791461412151066</v>
      </c>
    </row>
    <row r="14" spans="1:25" x14ac:dyDescent="0.25">
      <c r="A14" s="2" t="s">
        <v>120</v>
      </c>
      <c r="B14" s="7">
        <v>0.55200000000000005</v>
      </c>
      <c r="C14" s="7">
        <v>0.55100000000000005</v>
      </c>
      <c r="D14" s="4"/>
      <c r="E14" s="4"/>
      <c r="F14" s="4"/>
      <c r="G14" s="4"/>
      <c r="H14" s="4"/>
      <c r="I14" s="4"/>
      <c r="J14" s="4"/>
      <c r="K14" s="4"/>
      <c r="L14" s="4"/>
      <c r="M14" s="4"/>
      <c r="O14">
        <v>3</v>
      </c>
      <c r="U14" t="s">
        <v>171</v>
      </c>
      <c r="V14" s="8">
        <v>0.77800000000000002</v>
      </c>
      <c r="W14">
        <f t="shared" si="1"/>
        <v>0.35699999999999998</v>
      </c>
      <c r="X14">
        <f t="shared" si="2"/>
        <v>0.19211822660098521</v>
      </c>
      <c r="Y14">
        <f t="shared" si="3"/>
        <v>1.3448275862068964</v>
      </c>
    </row>
    <row r="15" spans="1:25" x14ac:dyDescent="0.25">
      <c r="A15" s="2" t="s">
        <v>76</v>
      </c>
      <c r="B15" s="4"/>
      <c r="C15" s="4"/>
      <c r="D15" s="4"/>
      <c r="E15" s="6">
        <v>0.64600000000000002</v>
      </c>
      <c r="F15" s="6">
        <v>0.64600000000000002</v>
      </c>
      <c r="G15" s="5">
        <v>0.69899999999999995</v>
      </c>
      <c r="H15" s="5">
        <v>0.66700000000000004</v>
      </c>
      <c r="I15" s="5">
        <v>0.72699999999999998</v>
      </c>
      <c r="J15" s="7">
        <v>0.53400000000000003</v>
      </c>
      <c r="K15" s="5">
        <v>0.67600000000000005</v>
      </c>
      <c r="L15" s="8">
        <v>0.75</v>
      </c>
      <c r="M15" s="7">
        <v>0.56399999999999995</v>
      </c>
      <c r="P15">
        <v>0</v>
      </c>
      <c r="Q15">
        <f>AVERAGE(B23:C23)</f>
        <v>0.374</v>
      </c>
      <c r="R15">
        <f>Q15-Q$15</f>
        <v>0</v>
      </c>
      <c r="U15" t="s">
        <v>172</v>
      </c>
      <c r="V15" s="5">
        <v>0.67900000000000005</v>
      </c>
      <c r="W15">
        <f t="shared" si="1"/>
        <v>0.25800000000000001</v>
      </c>
      <c r="X15">
        <f t="shared" si="2"/>
        <v>0.13406052076002814</v>
      </c>
      <c r="Y15">
        <f t="shared" si="3"/>
        <v>0.93842364532019695</v>
      </c>
    </row>
    <row r="16" spans="1:25" x14ac:dyDescent="0.25">
      <c r="A16" s="2" t="s">
        <v>121</v>
      </c>
      <c r="B16" s="6">
        <v>0.63300000000000001</v>
      </c>
      <c r="C16" s="9">
        <v>0.45700000000000002</v>
      </c>
      <c r="D16" s="4"/>
      <c r="E16" s="4"/>
      <c r="F16" s="4"/>
      <c r="G16" s="4"/>
      <c r="H16" s="4"/>
      <c r="I16" s="4"/>
      <c r="J16" s="4"/>
      <c r="K16" s="4"/>
      <c r="L16" s="4"/>
      <c r="M16" s="4"/>
      <c r="P16">
        <v>0.05</v>
      </c>
      <c r="Q16">
        <f>AVERAGE(B24:C24)</f>
        <v>0.48750000000000004</v>
      </c>
      <c r="R16">
        <f t="shared" ref="R16:R19" si="5">Q16-Q$15</f>
        <v>0.11350000000000005</v>
      </c>
      <c r="U16" t="s">
        <v>173</v>
      </c>
      <c r="V16" s="8">
        <v>0.73599999999999999</v>
      </c>
      <c r="W16">
        <f t="shared" si="1"/>
        <v>0.31499999999999995</v>
      </c>
      <c r="X16">
        <f t="shared" si="2"/>
        <v>0.167487684729064</v>
      </c>
      <c r="Y16">
        <f t="shared" si="3"/>
        <v>1.172413793103448</v>
      </c>
    </row>
    <row r="17" spans="1:25" x14ac:dyDescent="0.25">
      <c r="A17" s="2" t="s">
        <v>122</v>
      </c>
      <c r="B17" s="4"/>
      <c r="C17" s="4"/>
      <c r="D17" s="4"/>
      <c r="E17" s="8">
        <v>0.77100000000000002</v>
      </c>
      <c r="F17" s="13">
        <v>0.82299999999999995</v>
      </c>
      <c r="G17" s="13">
        <v>0.83699999999999997</v>
      </c>
      <c r="H17" s="4"/>
      <c r="I17" s="4"/>
      <c r="J17" s="4"/>
      <c r="K17" s="4"/>
      <c r="L17" s="4"/>
      <c r="M17" s="4"/>
      <c r="P17">
        <v>0.1</v>
      </c>
      <c r="Q17">
        <f>AVERAGE(B26:C26)</f>
        <v>0.626</v>
      </c>
      <c r="R17">
        <f t="shared" si="5"/>
        <v>0.252</v>
      </c>
      <c r="U17" t="s">
        <v>174</v>
      </c>
      <c r="V17" s="8">
        <v>0.78700000000000003</v>
      </c>
      <c r="W17">
        <f t="shared" si="1"/>
        <v>0.36599999999999999</v>
      </c>
      <c r="X17">
        <f t="shared" si="2"/>
        <v>0.19739619985925405</v>
      </c>
      <c r="Y17">
        <f t="shared" si="3"/>
        <v>1.3817733990147785</v>
      </c>
    </row>
    <row r="18" spans="1:25" x14ac:dyDescent="0.25">
      <c r="A18" s="2" t="s">
        <v>123</v>
      </c>
      <c r="B18" s="13">
        <v>0.88600000000000001</v>
      </c>
      <c r="C18" s="13">
        <v>0.873</v>
      </c>
      <c r="D18" s="4"/>
      <c r="E18" s="4"/>
      <c r="F18" s="4"/>
      <c r="G18" s="4"/>
      <c r="H18" s="4"/>
      <c r="I18" s="4"/>
      <c r="J18" s="4"/>
      <c r="K18" s="4"/>
      <c r="L18" s="4"/>
      <c r="M18" s="4"/>
      <c r="P18">
        <v>0.25</v>
      </c>
      <c r="Q18">
        <f>AVERAGE(B28:C28)</f>
        <v>0.93149999999999999</v>
      </c>
      <c r="R18">
        <f t="shared" si="5"/>
        <v>0.5575</v>
      </c>
      <c r="U18" t="s">
        <v>175</v>
      </c>
      <c r="V18" s="5">
        <v>0.71499999999999997</v>
      </c>
      <c r="W18">
        <f t="shared" si="1"/>
        <v>0.29399999999999993</v>
      </c>
      <c r="X18">
        <f t="shared" si="2"/>
        <v>0.15517241379310343</v>
      </c>
      <c r="Y18">
        <f t="shared" si="3"/>
        <v>1.086206896551724</v>
      </c>
    </row>
    <row r="19" spans="1:25" x14ac:dyDescent="0.25">
      <c r="A19" s="2" t="s">
        <v>124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P19">
        <v>0.5</v>
      </c>
      <c r="Q19">
        <f>AVERAGE(B30:C30)</f>
        <v>1.3645</v>
      </c>
      <c r="R19">
        <f t="shared" si="5"/>
        <v>0.99050000000000005</v>
      </c>
      <c r="U19" t="s">
        <v>176</v>
      </c>
      <c r="V19" s="5">
        <v>0.70099999999999996</v>
      </c>
      <c r="W19">
        <f t="shared" si="1"/>
        <v>0.27999999999999992</v>
      </c>
      <c r="X19">
        <f t="shared" si="2"/>
        <v>0.14696223316912968</v>
      </c>
      <c r="Y19">
        <f t="shared" si="3"/>
        <v>1.0287356321839078</v>
      </c>
    </row>
    <row r="20" spans="1:25" x14ac:dyDescent="0.25">
      <c r="A20" s="2" t="s">
        <v>125</v>
      </c>
      <c r="B20" s="11">
        <v>1.411</v>
      </c>
      <c r="C20" s="11">
        <v>1.4259999999999999</v>
      </c>
      <c r="D20" s="4"/>
      <c r="E20" s="4"/>
      <c r="F20" s="4"/>
      <c r="G20" s="4"/>
      <c r="H20" s="4"/>
      <c r="I20" s="4"/>
      <c r="J20" s="4"/>
      <c r="K20" s="4"/>
      <c r="L20" s="4"/>
      <c r="M20" s="4"/>
      <c r="O20">
        <v>4</v>
      </c>
      <c r="U20" t="s">
        <v>177</v>
      </c>
      <c r="V20" s="7">
        <v>0.53300000000000003</v>
      </c>
      <c r="W20">
        <f t="shared" si="1"/>
        <v>0.11199999999999999</v>
      </c>
      <c r="X20">
        <f t="shared" si="2"/>
        <v>4.8440065681444988E-2</v>
      </c>
      <c r="Y20">
        <f t="shared" si="3"/>
        <v>0.33908045977011492</v>
      </c>
    </row>
    <row r="21" spans="1:25" x14ac:dyDescent="0.25">
      <c r="A21">
        <v>3</v>
      </c>
      <c r="P21">
        <v>0</v>
      </c>
      <c r="Q21">
        <f>AVERAGE(B33:C33)</f>
        <v>0.36849999999999999</v>
      </c>
      <c r="R21">
        <f>Q21-Q$21</f>
        <v>0</v>
      </c>
      <c r="U21" t="s">
        <v>178</v>
      </c>
      <c r="V21" s="6">
        <v>0.63800000000000001</v>
      </c>
      <c r="W21">
        <f t="shared" si="1"/>
        <v>0.21699999999999997</v>
      </c>
      <c r="X21">
        <f t="shared" si="2"/>
        <v>0.11001642036124792</v>
      </c>
      <c r="Y21">
        <f t="shared" si="3"/>
        <v>0.77011494252873547</v>
      </c>
    </row>
    <row r="22" spans="1:25" x14ac:dyDescent="0.25">
      <c r="A22" s="12"/>
      <c r="B22" s="2">
        <v>1</v>
      </c>
      <c r="C22" s="2">
        <v>2</v>
      </c>
      <c r="D22" s="2">
        <v>3</v>
      </c>
      <c r="E22" s="2">
        <v>4</v>
      </c>
      <c r="F22" s="2">
        <v>5</v>
      </c>
      <c r="G22" s="2">
        <v>6</v>
      </c>
      <c r="H22" s="2">
        <v>7</v>
      </c>
      <c r="I22" s="2">
        <v>8</v>
      </c>
      <c r="J22" s="2">
        <v>9</v>
      </c>
      <c r="K22" s="2">
        <v>10</v>
      </c>
      <c r="L22" s="2">
        <v>11</v>
      </c>
      <c r="M22" s="2">
        <v>12</v>
      </c>
      <c r="P22">
        <v>0.05</v>
      </c>
      <c r="Q22">
        <f>AVERAGE(B34:C34)</f>
        <v>0.50600000000000001</v>
      </c>
      <c r="R22">
        <f t="shared" ref="R22:R25" si="6">Q22-Q$21</f>
        <v>0.13750000000000001</v>
      </c>
      <c r="U22" t="s">
        <v>179</v>
      </c>
      <c r="V22" s="10">
        <v>0.97599999999999998</v>
      </c>
      <c r="W22">
        <f t="shared" si="1"/>
        <v>0.55499999999999994</v>
      </c>
      <c r="X22">
        <f t="shared" si="2"/>
        <v>0.30823363828289935</v>
      </c>
      <c r="Y22">
        <f t="shared" si="3"/>
        <v>2.1576354679802954</v>
      </c>
    </row>
    <row r="23" spans="1:25" x14ac:dyDescent="0.25">
      <c r="A23" s="2" t="s">
        <v>118</v>
      </c>
      <c r="B23" s="3">
        <v>0.35599999999999998</v>
      </c>
      <c r="C23" s="3">
        <v>0.39200000000000002</v>
      </c>
      <c r="D23" s="4"/>
      <c r="E23" s="7">
        <v>0.53300000000000003</v>
      </c>
      <c r="F23" s="5">
        <v>0.66800000000000004</v>
      </c>
      <c r="G23" s="5">
        <v>0.72199999999999998</v>
      </c>
      <c r="H23" s="5">
        <v>0.69199999999999995</v>
      </c>
      <c r="I23" s="6">
        <v>0.58899999999999997</v>
      </c>
      <c r="J23" s="6">
        <v>0.60399999999999998</v>
      </c>
      <c r="K23" s="3">
        <v>0.39400000000000002</v>
      </c>
      <c r="L23" s="5">
        <v>0.69899999999999995</v>
      </c>
      <c r="M23" s="5">
        <v>0.69899999999999995</v>
      </c>
      <c r="P23">
        <v>0.1</v>
      </c>
      <c r="Q23">
        <f>AVERAGE(B36:C36)</f>
        <v>0.628</v>
      </c>
      <c r="R23">
        <f t="shared" si="6"/>
        <v>0.25950000000000001</v>
      </c>
      <c r="U23" t="s">
        <v>180</v>
      </c>
      <c r="V23" s="13">
        <v>0.82</v>
      </c>
      <c r="W23">
        <f t="shared" si="1"/>
        <v>0.39899999999999991</v>
      </c>
      <c r="X23">
        <f t="shared" si="2"/>
        <v>0.21674876847290636</v>
      </c>
      <c r="Y23">
        <f t="shared" si="3"/>
        <v>1.5172413793103445</v>
      </c>
    </row>
    <row r="24" spans="1:25" x14ac:dyDescent="0.25">
      <c r="A24" s="2" t="s">
        <v>120</v>
      </c>
      <c r="B24" s="7">
        <v>0.52200000000000002</v>
      </c>
      <c r="C24" s="9">
        <v>0.45300000000000001</v>
      </c>
      <c r="D24" s="4"/>
      <c r="E24" s="4"/>
      <c r="F24" s="4"/>
      <c r="G24" s="4"/>
      <c r="H24" s="4"/>
      <c r="I24" s="4"/>
      <c r="J24" s="4"/>
      <c r="K24" s="4"/>
      <c r="L24" s="4"/>
      <c r="M24" s="4"/>
      <c r="P24">
        <v>0.25</v>
      </c>
      <c r="Q24">
        <f>AVERAGE(B38:C38)</f>
        <v>0.90050000000000008</v>
      </c>
      <c r="R24">
        <f t="shared" si="6"/>
        <v>0.53200000000000003</v>
      </c>
      <c r="T24">
        <v>2</v>
      </c>
      <c r="U24" t="s">
        <v>0</v>
      </c>
      <c r="V24" t="s">
        <v>221</v>
      </c>
      <c r="W24" t="s">
        <v>222</v>
      </c>
      <c r="X24" t="s">
        <v>223</v>
      </c>
      <c r="Y24" t="s">
        <v>224</v>
      </c>
    </row>
    <row r="25" spans="1:25" x14ac:dyDescent="0.25">
      <c r="A25" s="2" t="s">
        <v>76</v>
      </c>
      <c r="B25" s="4"/>
      <c r="C25" s="4"/>
      <c r="D25" s="4"/>
      <c r="E25" s="6">
        <v>0.64300000000000002</v>
      </c>
      <c r="F25" s="5">
        <v>0.72099999999999997</v>
      </c>
      <c r="G25" s="8">
        <v>0.74099999999999999</v>
      </c>
      <c r="H25" s="5">
        <v>0.69499999999999995</v>
      </c>
      <c r="I25" s="8">
        <v>0.72499999999999998</v>
      </c>
      <c r="J25" s="8">
        <v>0.749</v>
      </c>
      <c r="K25" s="7">
        <v>0.54400000000000004</v>
      </c>
      <c r="L25" s="13">
        <v>0.83499999999999996</v>
      </c>
      <c r="M25" s="6">
        <v>0.60699999999999998</v>
      </c>
      <c r="P25">
        <v>0.5</v>
      </c>
      <c r="Q25">
        <f>AVERAGE(B40:C40)</f>
        <v>1.276</v>
      </c>
      <c r="R25">
        <f t="shared" si="6"/>
        <v>0.90749999999999997</v>
      </c>
      <c r="U25" t="s">
        <v>157</v>
      </c>
      <c r="V25" s="6">
        <v>0.59</v>
      </c>
      <c r="W25">
        <f>V25-Q$9</f>
        <v>0.21349999999999997</v>
      </c>
      <c r="X25">
        <f>(W25-0.0106)/2.0394</f>
        <v>9.9490046091987819E-2</v>
      </c>
      <c r="Y25">
        <f>X25*7</f>
        <v>0.69643032264391469</v>
      </c>
    </row>
    <row r="26" spans="1:25" x14ac:dyDescent="0.25">
      <c r="A26" s="2" t="s">
        <v>121</v>
      </c>
      <c r="B26" s="6">
        <v>0.622</v>
      </c>
      <c r="C26" s="6">
        <v>0.63</v>
      </c>
      <c r="D26" s="4"/>
      <c r="E26" s="4"/>
      <c r="F26" s="4"/>
      <c r="G26" s="4"/>
      <c r="H26" s="4"/>
      <c r="I26" s="4"/>
      <c r="J26" s="4"/>
      <c r="K26" s="4"/>
      <c r="L26" s="4"/>
      <c r="M26" s="4"/>
      <c r="O26">
        <v>5</v>
      </c>
      <c r="U26" t="s">
        <v>159</v>
      </c>
      <c r="V26" s="5">
        <v>0.67600000000000005</v>
      </c>
      <c r="W26">
        <f t="shared" ref="W26:W45" si="7">V26-Q$9</f>
        <v>0.29950000000000004</v>
      </c>
      <c r="X26">
        <f t="shared" ref="X26:X45" si="8">(W26-0.0106)/2.0394</f>
        <v>0.14165931156222419</v>
      </c>
      <c r="Y26">
        <f t="shared" ref="Y26:Y45" si="9">X26*7</f>
        <v>0.99161518093556933</v>
      </c>
    </row>
    <row r="27" spans="1:25" x14ac:dyDescent="0.25">
      <c r="A27" s="2" t="s">
        <v>122</v>
      </c>
      <c r="B27" s="4"/>
      <c r="C27" s="4"/>
      <c r="D27" s="4"/>
      <c r="E27" s="5">
        <v>0.66</v>
      </c>
      <c r="F27" s="13">
        <v>0.84599999999999997</v>
      </c>
      <c r="G27" s="15">
        <v>0.91900000000000004</v>
      </c>
      <c r="H27" s="4"/>
      <c r="I27" s="4"/>
      <c r="J27" s="4"/>
      <c r="K27" s="4"/>
      <c r="L27" s="4"/>
      <c r="M27" s="4"/>
      <c r="P27">
        <v>0</v>
      </c>
      <c r="Q27">
        <f>AVERAGE(B43:C43)</f>
        <v>0.33750000000000002</v>
      </c>
      <c r="R27">
        <f>Q27-Q$27</f>
        <v>0</v>
      </c>
      <c r="U27" t="s">
        <v>160</v>
      </c>
      <c r="V27" s="5">
        <v>0.67900000000000005</v>
      </c>
      <c r="W27">
        <f t="shared" si="7"/>
        <v>0.30250000000000005</v>
      </c>
      <c r="X27">
        <f t="shared" si="8"/>
        <v>0.14313033245072082</v>
      </c>
      <c r="Y27">
        <f t="shared" si="9"/>
        <v>1.0019123271550456</v>
      </c>
    </row>
    <row r="28" spans="1:25" x14ac:dyDescent="0.25">
      <c r="A28" s="2" t="s">
        <v>123</v>
      </c>
      <c r="B28" s="15">
        <v>0.93799999999999994</v>
      </c>
      <c r="C28" s="15">
        <v>0.92500000000000004</v>
      </c>
      <c r="D28" s="4"/>
      <c r="E28" s="4"/>
      <c r="F28" s="4"/>
      <c r="G28" s="4"/>
      <c r="H28" s="4"/>
      <c r="I28" s="4"/>
      <c r="J28" s="4"/>
      <c r="K28" s="4"/>
      <c r="L28" s="4"/>
      <c r="M28" s="4"/>
      <c r="P28">
        <v>0.05</v>
      </c>
      <c r="Q28">
        <f>AVERAGE(B44:C44)</f>
        <v>0.49399999999999999</v>
      </c>
      <c r="R28">
        <f t="shared" ref="R28:R31" si="10">Q28-Q$27</f>
        <v>0.15649999999999997</v>
      </c>
      <c r="U28" t="s">
        <v>161</v>
      </c>
      <c r="V28" s="5">
        <v>0.68799999999999994</v>
      </c>
      <c r="W28">
        <f t="shared" si="7"/>
        <v>0.31149999999999994</v>
      </c>
      <c r="X28">
        <f t="shared" si="8"/>
        <v>0.14754339511621062</v>
      </c>
      <c r="Y28">
        <f t="shared" si="9"/>
        <v>1.0328037658134743</v>
      </c>
    </row>
    <row r="29" spans="1:25" x14ac:dyDescent="0.25">
      <c r="A29" s="2" t="s">
        <v>124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P29">
        <v>0.1</v>
      </c>
      <c r="Q29">
        <f>AVERAGE(B46:C46)</f>
        <v>0.59949999999999992</v>
      </c>
      <c r="R29">
        <f t="shared" si="10"/>
        <v>0.2619999999999999</v>
      </c>
      <c r="U29" t="s">
        <v>162</v>
      </c>
      <c r="V29" s="6">
        <v>0.59099999999999997</v>
      </c>
      <c r="W29">
        <f t="shared" si="7"/>
        <v>0.21449999999999997</v>
      </c>
      <c r="X29">
        <f t="shared" si="8"/>
        <v>9.9980386388153361E-2</v>
      </c>
      <c r="Y29">
        <f t="shared" si="9"/>
        <v>0.69986270471707357</v>
      </c>
    </row>
    <row r="30" spans="1:25" x14ac:dyDescent="0.25">
      <c r="A30" s="2" t="s">
        <v>125</v>
      </c>
      <c r="B30" s="11">
        <v>1.38</v>
      </c>
      <c r="C30" s="11">
        <v>1.349</v>
      </c>
      <c r="D30" s="4"/>
      <c r="E30" s="4"/>
      <c r="F30" s="4"/>
      <c r="G30" s="4"/>
      <c r="H30" s="4"/>
      <c r="I30" s="4"/>
      <c r="J30" s="4"/>
      <c r="K30" s="4"/>
      <c r="L30" s="4"/>
      <c r="M30" s="4"/>
      <c r="P30">
        <v>0.25</v>
      </c>
      <c r="Q30">
        <f>AVERAGE(B48:C48)</f>
        <v>0.86299999999999999</v>
      </c>
      <c r="R30">
        <f t="shared" si="10"/>
        <v>0.52549999999999997</v>
      </c>
      <c r="U30" t="s">
        <v>163</v>
      </c>
      <c r="V30" s="5">
        <v>0.66800000000000004</v>
      </c>
      <c r="W30">
        <f t="shared" si="7"/>
        <v>0.29150000000000004</v>
      </c>
      <c r="X30">
        <f t="shared" si="8"/>
        <v>0.13773658919289988</v>
      </c>
      <c r="Y30">
        <f t="shared" si="9"/>
        <v>0.96415612435029918</v>
      </c>
    </row>
    <row r="31" spans="1:25" x14ac:dyDescent="0.25">
      <c r="A31">
        <v>4</v>
      </c>
      <c r="P31">
        <v>0.5</v>
      </c>
      <c r="Q31">
        <f>AVERAGE(B50:C50)</f>
        <v>1.1935</v>
      </c>
      <c r="R31">
        <f t="shared" si="10"/>
        <v>0.85599999999999998</v>
      </c>
      <c r="U31" t="s">
        <v>164</v>
      </c>
      <c r="V31" s="7">
        <v>0.57899999999999996</v>
      </c>
      <c r="W31">
        <f t="shared" si="7"/>
        <v>0.20249999999999996</v>
      </c>
      <c r="X31">
        <f t="shared" si="8"/>
        <v>9.4096302834166881E-2</v>
      </c>
      <c r="Y31">
        <f t="shared" si="9"/>
        <v>0.65867411983916813</v>
      </c>
    </row>
    <row r="32" spans="1:25" x14ac:dyDescent="0.25">
      <c r="A32" s="20"/>
      <c r="B32" s="21">
        <v>1</v>
      </c>
      <c r="C32" s="21">
        <v>2</v>
      </c>
      <c r="D32" s="21">
        <v>3</v>
      </c>
      <c r="E32" s="21">
        <v>4</v>
      </c>
      <c r="F32" s="21">
        <v>5</v>
      </c>
      <c r="G32" s="21">
        <v>6</v>
      </c>
      <c r="H32" s="21">
        <v>7</v>
      </c>
      <c r="I32" s="21">
        <v>8</v>
      </c>
      <c r="J32" s="21">
        <v>9</v>
      </c>
      <c r="K32" s="21">
        <v>10</v>
      </c>
      <c r="L32" s="21">
        <v>11</v>
      </c>
      <c r="M32" s="21">
        <v>12</v>
      </c>
      <c r="O32">
        <v>6</v>
      </c>
      <c r="U32" t="s">
        <v>166</v>
      </c>
      <c r="V32" s="5">
        <v>0.70899999999999996</v>
      </c>
      <c r="W32">
        <f t="shared" si="7"/>
        <v>0.33249999999999996</v>
      </c>
      <c r="X32">
        <f t="shared" si="8"/>
        <v>0.15784054133568695</v>
      </c>
      <c r="Y32">
        <f t="shared" si="9"/>
        <v>1.1048837893498087</v>
      </c>
    </row>
    <row r="33" spans="1:25" x14ac:dyDescent="0.25">
      <c r="A33" s="21" t="s">
        <v>118</v>
      </c>
      <c r="B33" s="22">
        <v>0.36599999999999999</v>
      </c>
      <c r="C33" s="22">
        <v>0.371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P33">
        <v>0</v>
      </c>
      <c r="Q33">
        <f>AVERAGE(B53:C53)</f>
        <v>0.36099999999999999</v>
      </c>
      <c r="R33">
        <f>Q33-Q$33</f>
        <v>0</v>
      </c>
      <c r="U33" t="s">
        <v>167</v>
      </c>
      <c r="V33" s="5">
        <v>0.71599999999999997</v>
      </c>
      <c r="W33">
        <f t="shared" si="7"/>
        <v>0.33949999999999997</v>
      </c>
      <c r="X33">
        <f t="shared" si="8"/>
        <v>0.16127292340884572</v>
      </c>
      <c r="Y33">
        <f t="shared" si="9"/>
        <v>1.1289104638619201</v>
      </c>
    </row>
    <row r="34" spans="1:25" x14ac:dyDescent="0.25">
      <c r="A34" s="21" t="s">
        <v>120</v>
      </c>
      <c r="B34" s="24">
        <v>0.502</v>
      </c>
      <c r="C34" s="24">
        <v>0.51</v>
      </c>
      <c r="D34" s="23"/>
      <c r="E34" s="25">
        <v>0.70699999999999996</v>
      </c>
      <c r="F34" s="26">
        <v>0.88900000000000001</v>
      </c>
      <c r="G34" s="25">
        <v>0.72</v>
      </c>
      <c r="H34" s="27">
        <v>0.8</v>
      </c>
      <c r="I34" s="26">
        <v>0.83099999999999996</v>
      </c>
      <c r="J34" s="26">
        <v>0.86399999999999999</v>
      </c>
      <c r="K34" s="25">
        <v>0.73199999999999998</v>
      </c>
      <c r="L34" s="26">
        <v>0.86699999999999999</v>
      </c>
      <c r="M34" s="23"/>
      <c r="P34">
        <v>0.05</v>
      </c>
      <c r="Q34">
        <f>AVERAGE(B54:C54)</f>
        <v>0.51600000000000001</v>
      </c>
      <c r="R34">
        <f t="shared" ref="R34:R37" si="11">Q34-Q$33</f>
        <v>0.15500000000000003</v>
      </c>
      <c r="U34" t="s">
        <v>169</v>
      </c>
      <c r="V34" s="6">
        <v>0.64600000000000002</v>
      </c>
      <c r="W34">
        <f t="shared" si="7"/>
        <v>0.26950000000000002</v>
      </c>
      <c r="X34">
        <f t="shared" si="8"/>
        <v>0.12694910267725801</v>
      </c>
      <c r="Y34">
        <f t="shared" si="9"/>
        <v>0.88864371874080605</v>
      </c>
    </row>
    <row r="35" spans="1:25" x14ac:dyDescent="0.25">
      <c r="A35" s="21" t="s">
        <v>76</v>
      </c>
      <c r="B35" s="23"/>
      <c r="C35" s="23"/>
      <c r="D35" s="23"/>
      <c r="E35" s="25">
        <v>0.746</v>
      </c>
      <c r="F35" s="26">
        <v>0.83299999999999996</v>
      </c>
      <c r="G35" s="25">
        <v>0.71499999999999997</v>
      </c>
      <c r="H35" s="27">
        <v>0.82299999999999995</v>
      </c>
      <c r="I35" s="27">
        <v>0.80800000000000005</v>
      </c>
      <c r="J35" s="27">
        <v>0.80500000000000005</v>
      </c>
      <c r="K35" s="28">
        <v>0.67600000000000005</v>
      </c>
      <c r="L35" s="27">
        <v>0.78900000000000003</v>
      </c>
      <c r="M35" s="23"/>
      <c r="P35">
        <v>0.1</v>
      </c>
      <c r="Q35">
        <f>AVERAGE(B56:C56)</f>
        <v>0.62949999999999995</v>
      </c>
      <c r="R35">
        <f t="shared" si="11"/>
        <v>0.26849999999999996</v>
      </c>
      <c r="U35" t="s">
        <v>170</v>
      </c>
      <c r="V35" s="6">
        <v>0.64600000000000002</v>
      </c>
      <c r="W35">
        <f t="shared" si="7"/>
        <v>0.26950000000000002</v>
      </c>
      <c r="X35">
        <f t="shared" si="8"/>
        <v>0.12694910267725801</v>
      </c>
      <c r="Y35">
        <f t="shared" si="9"/>
        <v>0.88864371874080605</v>
      </c>
    </row>
    <row r="36" spans="1:25" x14ac:dyDescent="0.25">
      <c r="A36" s="21" t="s">
        <v>121</v>
      </c>
      <c r="B36" s="28">
        <v>0.63300000000000001</v>
      </c>
      <c r="C36" s="29">
        <v>0.623</v>
      </c>
      <c r="D36" s="23"/>
      <c r="E36" s="27">
        <v>0.80800000000000005</v>
      </c>
      <c r="F36" s="26">
        <v>0.89100000000000001</v>
      </c>
      <c r="G36" s="27">
        <v>0.80300000000000005</v>
      </c>
      <c r="H36" s="28">
        <v>0.68400000000000005</v>
      </c>
      <c r="I36" s="23"/>
      <c r="J36" s="29">
        <v>0.61499999999999999</v>
      </c>
      <c r="K36" s="28">
        <v>0.65100000000000002</v>
      </c>
      <c r="L36" s="28">
        <v>0.63700000000000001</v>
      </c>
      <c r="M36" s="23"/>
      <c r="P36">
        <v>0.25</v>
      </c>
      <c r="Q36">
        <f>AVERAGE(B58:C58)</f>
        <v>0.89800000000000002</v>
      </c>
      <c r="R36">
        <f t="shared" si="11"/>
        <v>0.53700000000000003</v>
      </c>
      <c r="U36" t="s">
        <v>171</v>
      </c>
      <c r="V36" s="5">
        <v>0.69899999999999995</v>
      </c>
      <c r="W36">
        <f t="shared" si="7"/>
        <v>0.32249999999999995</v>
      </c>
      <c r="X36">
        <f t="shared" si="8"/>
        <v>0.15293713837403156</v>
      </c>
      <c r="Y36">
        <f t="shared" si="9"/>
        <v>1.070559968618221</v>
      </c>
    </row>
    <row r="37" spans="1:25" x14ac:dyDescent="0.25">
      <c r="A37" s="21" t="s">
        <v>122</v>
      </c>
      <c r="B37" s="23"/>
      <c r="C37" s="23"/>
      <c r="D37" s="23"/>
      <c r="E37" s="29">
        <v>0.56899999999999995</v>
      </c>
      <c r="F37" s="29">
        <v>0.61</v>
      </c>
      <c r="G37" s="28">
        <v>0.69099999999999995</v>
      </c>
      <c r="H37" s="25">
        <v>0.70399999999999996</v>
      </c>
      <c r="I37" s="29">
        <v>0.59799999999999998</v>
      </c>
      <c r="J37" s="29">
        <v>0.58399999999999996</v>
      </c>
      <c r="K37" s="29">
        <v>0.59399999999999997</v>
      </c>
      <c r="L37" s="29">
        <v>0.60399999999999998</v>
      </c>
      <c r="M37" s="23"/>
      <c r="P37">
        <v>0.5</v>
      </c>
      <c r="Q37">
        <f>AVERAGE(B60:C60)</f>
        <v>1.2130000000000001</v>
      </c>
      <c r="R37">
        <f t="shared" si="11"/>
        <v>0.85200000000000009</v>
      </c>
      <c r="U37" t="s">
        <v>172</v>
      </c>
      <c r="V37" s="5">
        <v>0.66700000000000004</v>
      </c>
      <c r="W37">
        <f t="shared" si="7"/>
        <v>0.29050000000000004</v>
      </c>
      <c r="X37">
        <f t="shared" si="8"/>
        <v>0.13724624889673434</v>
      </c>
      <c r="Y37">
        <f t="shared" si="9"/>
        <v>0.96072374227714041</v>
      </c>
    </row>
    <row r="38" spans="1:25" x14ac:dyDescent="0.25">
      <c r="A38" s="21" t="s">
        <v>123</v>
      </c>
      <c r="B38" s="30">
        <v>0.90200000000000002</v>
      </c>
      <c r="C38" s="30">
        <v>0.89900000000000002</v>
      </c>
      <c r="D38" s="23"/>
      <c r="E38" s="28">
        <v>0.63800000000000001</v>
      </c>
      <c r="F38" s="28">
        <v>0.63400000000000001</v>
      </c>
      <c r="G38" s="23"/>
      <c r="H38" s="23"/>
      <c r="I38" s="23"/>
      <c r="J38" s="23"/>
      <c r="K38" s="23"/>
      <c r="L38" s="23"/>
      <c r="M38" s="23"/>
      <c r="U38" t="s">
        <v>173</v>
      </c>
      <c r="V38" s="5">
        <v>0.72699999999999998</v>
      </c>
      <c r="W38">
        <f t="shared" si="7"/>
        <v>0.35049999999999998</v>
      </c>
      <c r="X38">
        <f t="shared" si="8"/>
        <v>0.16666666666666666</v>
      </c>
      <c r="Y38">
        <f t="shared" si="9"/>
        <v>1.1666666666666665</v>
      </c>
    </row>
    <row r="39" spans="1:25" x14ac:dyDescent="0.25">
      <c r="A39" s="21" t="s">
        <v>124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U39" t="s">
        <v>174</v>
      </c>
      <c r="V39" s="7">
        <v>0.53400000000000003</v>
      </c>
      <c r="W39">
        <f t="shared" si="7"/>
        <v>0.15750000000000003</v>
      </c>
      <c r="X39">
        <f t="shared" si="8"/>
        <v>7.2030989506717671E-2</v>
      </c>
      <c r="Y39">
        <f t="shared" si="9"/>
        <v>0.50421692654702366</v>
      </c>
    </row>
    <row r="40" spans="1:25" x14ac:dyDescent="0.25">
      <c r="A40" s="21" t="s">
        <v>125</v>
      </c>
      <c r="B40" s="31">
        <v>1.258</v>
      </c>
      <c r="C40" s="31">
        <v>1.294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U40" t="s">
        <v>175</v>
      </c>
      <c r="V40" s="5">
        <v>0.67600000000000005</v>
      </c>
      <c r="W40">
        <f t="shared" si="7"/>
        <v>0.29950000000000004</v>
      </c>
      <c r="X40">
        <f t="shared" si="8"/>
        <v>0.14165931156222419</v>
      </c>
      <c r="Y40">
        <f t="shared" si="9"/>
        <v>0.99161518093556933</v>
      </c>
    </row>
    <row r="41" spans="1:25" x14ac:dyDescent="0.25">
      <c r="U41" t="s">
        <v>176</v>
      </c>
      <c r="V41" s="8">
        <v>0.75</v>
      </c>
      <c r="W41">
        <f t="shared" si="7"/>
        <v>0.3735</v>
      </c>
      <c r="X41">
        <f t="shared" si="8"/>
        <v>0.17794449347847405</v>
      </c>
      <c r="Y41">
        <f t="shared" si="9"/>
        <v>1.2456114543493184</v>
      </c>
    </row>
    <row r="42" spans="1:25" x14ac:dyDescent="0.25">
      <c r="A42" s="32"/>
      <c r="B42" s="33">
        <v>1</v>
      </c>
      <c r="C42" s="33">
        <v>2</v>
      </c>
      <c r="D42" s="33">
        <v>3</v>
      </c>
      <c r="E42" s="33">
        <v>4</v>
      </c>
      <c r="F42" s="33">
        <v>5</v>
      </c>
      <c r="G42" s="33">
        <v>6</v>
      </c>
      <c r="H42" s="33">
        <v>7</v>
      </c>
      <c r="I42" s="33">
        <v>8</v>
      </c>
      <c r="J42" s="33">
        <v>9</v>
      </c>
      <c r="K42" s="33">
        <v>10</v>
      </c>
      <c r="L42" s="33">
        <v>11</v>
      </c>
      <c r="M42" s="33">
        <v>12</v>
      </c>
      <c r="U42" t="s">
        <v>177</v>
      </c>
      <c r="V42" s="7">
        <v>0.56399999999999995</v>
      </c>
      <c r="W42">
        <f t="shared" si="7"/>
        <v>0.18749999999999994</v>
      </c>
      <c r="X42">
        <f t="shared" si="8"/>
        <v>8.6741198391683802E-2</v>
      </c>
      <c r="Y42">
        <f t="shared" si="9"/>
        <v>0.6071883887417866</v>
      </c>
    </row>
    <row r="43" spans="1:25" x14ac:dyDescent="0.25">
      <c r="A43" s="33" t="s">
        <v>118</v>
      </c>
      <c r="B43" s="34">
        <v>0.33500000000000002</v>
      </c>
      <c r="C43" s="34">
        <v>0.34</v>
      </c>
      <c r="D43" s="35"/>
      <c r="E43" s="35"/>
      <c r="F43" s="35"/>
      <c r="G43" s="35"/>
      <c r="H43" s="35"/>
      <c r="I43" s="35"/>
      <c r="J43" s="35"/>
      <c r="K43" s="35"/>
      <c r="L43" s="35"/>
      <c r="M43" s="35"/>
      <c r="U43" t="s">
        <v>178</v>
      </c>
      <c r="V43" s="8">
        <v>0.77100000000000002</v>
      </c>
      <c r="W43">
        <f t="shared" si="7"/>
        <v>0.39450000000000002</v>
      </c>
      <c r="X43">
        <f t="shared" si="8"/>
        <v>0.18824163969795038</v>
      </c>
      <c r="Y43">
        <f t="shared" si="9"/>
        <v>1.3176914778856528</v>
      </c>
    </row>
    <row r="44" spans="1:25" x14ac:dyDescent="0.25">
      <c r="A44" s="33" t="s">
        <v>120</v>
      </c>
      <c r="B44" s="36">
        <v>0.49399999999999999</v>
      </c>
      <c r="C44" s="36">
        <v>0.49399999999999999</v>
      </c>
      <c r="D44" s="35"/>
      <c r="E44" s="37">
        <v>0.56200000000000006</v>
      </c>
      <c r="F44" s="38">
        <v>0.88800000000000001</v>
      </c>
      <c r="G44" s="39">
        <v>0.77200000000000002</v>
      </c>
      <c r="H44" s="39">
        <v>0.76800000000000002</v>
      </c>
      <c r="I44" s="40">
        <v>0.69799999999999995</v>
      </c>
      <c r="J44" s="40">
        <v>0.65900000000000003</v>
      </c>
      <c r="K44" s="40">
        <v>0.65300000000000002</v>
      </c>
      <c r="L44" s="39">
        <v>0.78300000000000003</v>
      </c>
      <c r="M44" s="35"/>
      <c r="U44" t="s">
        <v>179</v>
      </c>
      <c r="V44" s="13">
        <v>0.82299999999999995</v>
      </c>
      <c r="W44">
        <f t="shared" si="7"/>
        <v>0.44649999999999995</v>
      </c>
      <c r="X44">
        <f t="shared" si="8"/>
        <v>0.21373933509855836</v>
      </c>
      <c r="Y44">
        <f t="shared" si="9"/>
        <v>1.4961753456899085</v>
      </c>
    </row>
    <row r="45" spans="1:25" x14ac:dyDescent="0.25">
      <c r="A45" s="33" t="s">
        <v>76</v>
      </c>
      <c r="B45" s="35"/>
      <c r="C45" s="35"/>
      <c r="D45" s="35"/>
      <c r="E45" s="41">
        <v>0.72699999999999998</v>
      </c>
      <c r="F45" s="39">
        <v>0.80400000000000005</v>
      </c>
      <c r="G45" s="39">
        <v>0.77200000000000002</v>
      </c>
      <c r="H45" s="39">
        <v>0.79200000000000004</v>
      </c>
      <c r="I45" s="41">
        <v>0.75900000000000001</v>
      </c>
      <c r="J45" s="41">
        <v>0.745</v>
      </c>
      <c r="K45" s="40">
        <v>0.65</v>
      </c>
      <c r="L45" s="41">
        <v>0.76</v>
      </c>
      <c r="M45" s="35"/>
      <c r="U45" t="s">
        <v>180</v>
      </c>
      <c r="V45" s="13">
        <v>0.83699999999999997</v>
      </c>
      <c r="W45">
        <f t="shared" si="7"/>
        <v>0.46049999999999996</v>
      </c>
      <c r="X45">
        <f t="shared" si="8"/>
        <v>0.22060409924487592</v>
      </c>
      <c r="Y45">
        <f t="shared" si="9"/>
        <v>1.5442286947141315</v>
      </c>
    </row>
    <row r="46" spans="1:25" x14ac:dyDescent="0.25">
      <c r="A46" s="33" t="s">
        <v>121</v>
      </c>
      <c r="B46" s="42">
        <v>0.60199999999999998</v>
      </c>
      <c r="C46" s="42">
        <v>0.59699999999999998</v>
      </c>
      <c r="D46" s="35"/>
      <c r="E46" s="41">
        <v>0.70499999999999996</v>
      </c>
      <c r="F46" s="38">
        <v>0.85</v>
      </c>
      <c r="G46" s="41">
        <v>0.72</v>
      </c>
      <c r="H46" s="41">
        <v>0.70799999999999996</v>
      </c>
      <c r="I46" s="35"/>
      <c r="J46" s="42">
        <v>0.626</v>
      </c>
      <c r="K46" s="40">
        <v>0.65500000000000003</v>
      </c>
      <c r="L46" s="42">
        <v>0.63400000000000001</v>
      </c>
      <c r="M46" s="35"/>
      <c r="T46">
        <v>3</v>
      </c>
      <c r="U46" t="s">
        <v>0</v>
      </c>
      <c r="V46" t="s">
        <v>221</v>
      </c>
      <c r="W46" t="s">
        <v>222</v>
      </c>
      <c r="X46" t="s">
        <v>223</v>
      </c>
      <c r="Y46" t="s">
        <v>224</v>
      </c>
    </row>
    <row r="47" spans="1:25" x14ac:dyDescent="0.25">
      <c r="A47" s="33" t="s">
        <v>122</v>
      </c>
      <c r="B47" s="35"/>
      <c r="C47" s="35"/>
      <c r="D47" s="35"/>
      <c r="E47" s="37">
        <v>0.55700000000000005</v>
      </c>
      <c r="F47" s="42">
        <v>0.60399999999999998</v>
      </c>
      <c r="G47" s="40">
        <v>0.69599999999999995</v>
      </c>
      <c r="H47" s="40">
        <v>0.67100000000000004</v>
      </c>
      <c r="I47" s="42">
        <v>0.60899999999999999</v>
      </c>
      <c r="J47" s="42">
        <v>0.58599999999999997</v>
      </c>
      <c r="K47" s="42">
        <v>0.59599999999999997</v>
      </c>
      <c r="L47" s="42">
        <v>0.623</v>
      </c>
      <c r="M47" s="35"/>
      <c r="U47" t="s">
        <v>157</v>
      </c>
      <c r="V47" s="7">
        <v>0.53300000000000003</v>
      </c>
      <c r="W47">
        <f>V47-Q$15</f>
        <v>0.15900000000000003</v>
      </c>
      <c r="X47">
        <f>(W47-0.0281)/1.9698</f>
        <v>6.6453447050461981E-2</v>
      </c>
      <c r="Y47">
        <f>X47*7</f>
        <v>0.46517412935323388</v>
      </c>
    </row>
    <row r="48" spans="1:25" x14ac:dyDescent="0.25">
      <c r="A48" s="33" t="s">
        <v>123</v>
      </c>
      <c r="B48" s="38">
        <v>0.876</v>
      </c>
      <c r="C48" s="38">
        <v>0.85</v>
      </c>
      <c r="D48" s="35"/>
      <c r="E48" s="40">
        <v>0.64500000000000002</v>
      </c>
      <c r="F48" s="42">
        <v>0.61</v>
      </c>
      <c r="G48" s="35"/>
      <c r="H48" s="35"/>
      <c r="I48" s="35"/>
      <c r="J48" s="35"/>
      <c r="K48" s="35"/>
      <c r="L48" s="35"/>
      <c r="M48" s="35"/>
      <c r="U48" t="s">
        <v>159</v>
      </c>
      <c r="V48" s="5">
        <v>0.66800000000000004</v>
      </c>
      <c r="W48">
        <f t="shared" ref="W48:W67" si="12">V48-Q$15</f>
        <v>0.29400000000000004</v>
      </c>
      <c r="X48">
        <f t="shared" ref="X48:X67" si="13">(W48-0.0281)/1.9698</f>
        <v>0.13498832368768404</v>
      </c>
      <c r="Y48">
        <f t="shared" ref="Y48:Y67" si="14">X48*7</f>
        <v>0.94491826581378824</v>
      </c>
    </row>
    <row r="49" spans="1:25" x14ac:dyDescent="0.25">
      <c r="A49" s="33" t="s">
        <v>124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U49" t="s">
        <v>160</v>
      </c>
      <c r="V49" s="5">
        <v>0.72199999999999998</v>
      </c>
      <c r="W49">
        <f t="shared" si="12"/>
        <v>0.34799999999999998</v>
      </c>
      <c r="X49">
        <f t="shared" si="13"/>
        <v>0.16240227434257284</v>
      </c>
      <c r="Y49">
        <f t="shared" si="14"/>
        <v>1.1368159203980099</v>
      </c>
    </row>
    <row r="50" spans="1:25" x14ac:dyDescent="0.25">
      <c r="A50" s="33" t="s">
        <v>125</v>
      </c>
      <c r="B50" s="43">
        <v>1.198</v>
      </c>
      <c r="C50" s="43">
        <v>1.1890000000000001</v>
      </c>
      <c r="D50" s="35"/>
      <c r="E50" s="35"/>
      <c r="F50" s="35"/>
      <c r="G50" s="35"/>
      <c r="H50" s="35"/>
      <c r="I50" s="35"/>
      <c r="J50" s="35"/>
      <c r="K50" s="35"/>
      <c r="L50" s="35"/>
      <c r="M50" s="35"/>
      <c r="U50" t="s">
        <v>161</v>
      </c>
      <c r="V50" s="5">
        <v>0.69199999999999995</v>
      </c>
      <c r="W50">
        <f t="shared" si="12"/>
        <v>0.31799999999999995</v>
      </c>
      <c r="X50">
        <f t="shared" si="13"/>
        <v>0.14717230175652346</v>
      </c>
      <c r="Y50">
        <f t="shared" si="14"/>
        <v>1.0302061122956643</v>
      </c>
    </row>
    <row r="51" spans="1:25" x14ac:dyDescent="0.25">
      <c r="U51" t="s">
        <v>162</v>
      </c>
      <c r="V51" s="6">
        <v>0.58899999999999997</v>
      </c>
      <c r="W51">
        <f t="shared" si="12"/>
        <v>0.21499999999999997</v>
      </c>
      <c r="X51">
        <f t="shared" si="13"/>
        <v>9.4882729211087397E-2</v>
      </c>
      <c r="Y51">
        <f t="shared" si="14"/>
        <v>0.66417910447761175</v>
      </c>
    </row>
    <row r="52" spans="1:25" x14ac:dyDescent="0.25">
      <c r="A52" s="32"/>
      <c r="B52" s="33">
        <v>1</v>
      </c>
      <c r="C52" s="33">
        <v>2</v>
      </c>
      <c r="D52" s="33">
        <v>3</v>
      </c>
      <c r="E52" s="33">
        <v>4</v>
      </c>
      <c r="F52" s="33">
        <v>5</v>
      </c>
      <c r="G52" s="33">
        <v>6</v>
      </c>
      <c r="H52" s="33">
        <v>7</v>
      </c>
      <c r="I52" s="33">
        <v>8</v>
      </c>
      <c r="J52" s="33">
        <v>9</v>
      </c>
      <c r="K52" s="33">
        <v>10</v>
      </c>
      <c r="L52" s="33">
        <v>11</v>
      </c>
      <c r="M52" s="33">
        <v>12</v>
      </c>
      <c r="U52" t="s">
        <v>163</v>
      </c>
      <c r="V52" s="6">
        <v>0.60399999999999998</v>
      </c>
      <c r="W52">
        <f t="shared" si="12"/>
        <v>0.22999999999999998</v>
      </c>
      <c r="X52">
        <f t="shared" si="13"/>
        <v>0.10249771550411207</v>
      </c>
      <c r="Y52">
        <f t="shared" si="14"/>
        <v>0.71748400852878458</v>
      </c>
    </row>
    <row r="53" spans="1:25" x14ac:dyDescent="0.25">
      <c r="A53" s="33" t="s">
        <v>118</v>
      </c>
      <c r="B53" s="34">
        <v>0.372</v>
      </c>
      <c r="C53" s="34">
        <v>0.35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T53" t="s">
        <v>225</v>
      </c>
      <c r="U53" s="83" t="s">
        <v>164</v>
      </c>
      <c r="V53" s="84">
        <v>0.39400000000000002</v>
      </c>
      <c r="W53" s="83">
        <f t="shared" si="12"/>
        <v>2.0000000000000018E-2</v>
      </c>
      <c r="X53" s="83">
        <f t="shared" si="13"/>
        <v>-4.1120925982333139E-3</v>
      </c>
      <c r="Y53" s="83">
        <f t="shared" si="14"/>
        <v>-2.8784648187633197E-2</v>
      </c>
    </row>
    <row r="54" spans="1:25" x14ac:dyDescent="0.25">
      <c r="A54" s="33" t="s">
        <v>120</v>
      </c>
      <c r="B54" s="36">
        <v>0.51100000000000001</v>
      </c>
      <c r="C54" s="36">
        <v>0.52100000000000002</v>
      </c>
      <c r="D54" s="35"/>
      <c r="E54" s="40">
        <v>0.70599999999999996</v>
      </c>
      <c r="F54" s="38">
        <v>0.88100000000000001</v>
      </c>
      <c r="G54" s="39">
        <v>0.82599999999999996</v>
      </c>
      <c r="H54" s="41">
        <v>0.78</v>
      </c>
      <c r="I54" s="41">
        <v>0.79400000000000004</v>
      </c>
      <c r="J54" s="39">
        <v>0.84599999999999997</v>
      </c>
      <c r="K54" s="41">
        <v>0.75700000000000001</v>
      </c>
      <c r="L54" s="38">
        <v>0.88</v>
      </c>
      <c r="M54" s="35"/>
      <c r="U54" t="s">
        <v>166</v>
      </c>
      <c r="V54" s="5">
        <v>0.69899999999999995</v>
      </c>
      <c r="W54">
        <f t="shared" si="12"/>
        <v>0.32499999999999996</v>
      </c>
      <c r="X54">
        <f t="shared" si="13"/>
        <v>0.15072596202660166</v>
      </c>
      <c r="Y54">
        <f t="shared" si="14"/>
        <v>1.0550817341862115</v>
      </c>
    </row>
    <row r="55" spans="1:25" x14ac:dyDescent="0.25">
      <c r="A55" s="33" t="s">
        <v>76</v>
      </c>
      <c r="B55" s="35"/>
      <c r="C55" s="35"/>
      <c r="D55" s="35"/>
      <c r="E55" s="39">
        <v>0.81699999999999995</v>
      </c>
      <c r="F55" s="39">
        <v>0.86</v>
      </c>
      <c r="G55" s="39">
        <v>0.81</v>
      </c>
      <c r="H55" s="39">
        <v>0.85399999999999998</v>
      </c>
      <c r="I55" s="41">
        <v>0.80400000000000005</v>
      </c>
      <c r="J55" s="39">
        <v>0.82899999999999996</v>
      </c>
      <c r="K55" s="40">
        <v>0.68700000000000006</v>
      </c>
      <c r="L55" s="39">
        <v>0.82399999999999995</v>
      </c>
      <c r="M55" s="35"/>
      <c r="U55" t="s">
        <v>167</v>
      </c>
      <c r="V55" s="5">
        <v>0.69899999999999995</v>
      </c>
      <c r="W55">
        <f t="shared" si="12"/>
        <v>0.32499999999999996</v>
      </c>
      <c r="X55">
        <f t="shared" si="13"/>
        <v>0.15072596202660166</v>
      </c>
      <c r="Y55">
        <f t="shared" si="14"/>
        <v>1.0550817341862115</v>
      </c>
    </row>
    <row r="56" spans="1:25" x14ac:dyDescent="0.25">
      <c r="A56" s="33" t="s">
        <v>121</v>
      </c>
      <c r="B56" s="42">
        <v>0.63300000000000001</v>
      </c>
      <c r="C56" s="42">
        <v>0.626</v>
      </c>
      <c r="D56" s="35"/>
      <c r="E56" s="39">
        <v>0.81100000000000005</v>
      </c>
      <c r="F56" s="39">
        <v>0.85499999999999998</v>
      </c>
      <c r="G56" s="41">
        <v>0.78300000000000003</v>
      </c>
      <c r="H56" s="40">
        <v>0.68799999999999994</v>
      </c>
      <c r="I56" s="35"/>
      <c r="J56" s="42">
        <v>0.64500000000000002</v>
      </c>
      <c r="K56" s="42">
        <v>0.66300000000000003</v>
      </c>
      <c r="L56" s="42">
        <v>0.66200000000000003</v>
      </c>
      <c r="M56" s="35"/>
      <c r="U56" t="s">
        <v>169</v>
      </c>
      <c r="V56" s="6">
        <v>0.64300000000000002</v>
      </c>
      <c r="W56">
        <f t="shared" si="12"/>
        <v>0.26900000000000002</v>
      </c>
      <c r="X56">
        <f t="shared" si="13"/>
        <v>0.12229667986597624</v>
      </c>
      <c r="Y56">
        <f t="shared" si="14"/>
        <v>0.85607675906183367</v>
      </c>
    </row>
    <row r="57" spans="1:25" x14ac:dyDescent="0.25">
      <c r="A57" s="33" t="s">
        <v>122</v>
      </c>
      <c r="B57" s="35"/>
      <c r="C57" s="35"/>
      <c r="D57" s="35"/>
      <c r="E57" s="37">
        <v>0.56499999999999995</v>
      </c>
      <c r="F57" s="42">
        <v>0.64600000000000002</v>
      </c>
      <c r="G57" s="40">
        <v>0.70199999999999996</v>
      </c>
      <c r="H57" s="42">
        <v>0.63300000000000001</v>
      </c>
      <c r="I57" s="37">
        <v>0.58299999999999996</v>
      </c>
      <c r="J57" s="42">
        <v>0.61399999999999999</v>
      </c>
      <c r="K57" s="37">
        <v>0.57599999999999996</v>
      </c>
      <c r="L57" s="42">
        <v>0.624</v>
      </c>
      <c r="M57" s="35"/>
      <c r="U57" t="s">
        <v>170</v>
      </c>
      <c r="V57" s="5">
        <v>0.72099999999999997</v>
      </c>
      <c r="W57">
        <f t="shared" si="12"/>
        <v>0.34699999999999998</v>
      </c>
      <c r="X57">
        <f t="shared" si="13"/>
        <v>0.16189460858970453</v>
      </c>
      <c r="Y57">
        <f t="shared" si="14"/>
        <v>1.1332622601279316</v>
      </c>
    </row>
    <row r="58" spans="1:25" x14ac:dyDescent="0.25">
      <c r="A58" s="33" t="s">
        <v>123</v>
      </c>
      <c r="B58" s="38">
        <v>0.89800000000000002</v>
      </c>
      <c r="C58" s="38">
        <v>0.89800000000000002</v>
      </c>
      <c r="D58" s="35"/>
      <c r="E58" s="42">
        <v>0.65900000000000003</v>
      </c>
      <c r="F58" s="42">
        <v>0.64</v>
      </c>
      <c r="G58" s="35"/>
      <c r="H58" s="35"/>
      <c r="I58" s="35"/>
      <c r="J58" s="35"/>
      <c r="K58" s="35"/>
      <c r="L58" s="35"/>
      <c r="M58" s="35"/>
      <c r="U58" t="s">
        <v>171</v>
      </c>
      <c r="V58" s="8">
        <v>0.74099999999999999</v>
      </c>
      <c r="W58">
        <f t="shared" si="12"/>
        <v>0.36699999999999999</v>
      </c>
      <c r="X58">
        <f t="shared" si="13"/>
        <v>0.17204792364707075</v>
      </c>
      <c r="Y58">
        <f t="shared" si="14"/>
        <v>1.2043354655294953</v>
      </c>
    </row>
    <row r="59" spans="1:25" x14ac:dyDescent="0.25">
      <c r="A59" s="33" t="s">
        <v>124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U59" t="s">
        <v>172</v>
      </c>
      <c r="V59" s="5">
        <v>0.69499999999999995</v>
      </c>
      <c r="W59">
        <f t="shared" si="12"/>
        <v>0.32099999999999995</v>
      </c>
      <c r="X59">
        <f t="shared" si="13"/>
        <v>0.1486952990151284</v>
      </c>
      <c r="Y59">
        <f t="shared" si="14"/>
        <v>1.0408670931058988</v>
      </c>
    </row>
    <row r="60" spans="1:25" x14ac:dyDescent="0.25">
      <c r="A60" s="33" t="s">
        <v>125</v>
      </c>
      <c r="B60" s="43">
        <v>1.2649999999999999</v>
      </c>
      <c r="C60" s="44">
        <v>1.161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U60" t="s">
        <v>173</v>
      </c>
      <c r="V60" s="8">
        <v>0.72499999999999998</v>
      </c>
      <c r="W60">
        <f t="shared" si="12"/>
        <v>0.35099999999999998</v>
      </c>
      <c r="X60">
        <f t="shared" si="13"/>
        <v>0.16392527160117776</v>
      </c>
      <c r="Y60">
        <f t="shared" si="14"/>
        <v>1.1474769012082442</v>
      </c>
    </row>
    <row r="61" spans="1:25" x14ac:dyDescent="0.25">
      <c r="U61" t="s">
        <v>174</v>
      </c>
      <c r="V61" s="8">
        <v>0.749</v>
      </c>
      <c r="W61">
        <f t="shared" si="12"/>
        <v>0.375</v>
      </c>
      <c r="X61">
        <f t="shared" si="13"/>
        <v>0.17610924967001726</v>
      </c>
      <c r="Y61">
        <f t="shared" si="14"/>
        <v>1.2327647476901209</v>
      </c>
    </row>
    <row r="62" spans="1:25" x14ac:dyDescent="0.25">
      <c r="U62" t="s">
        <v>175</v>
      </c>
      <c r="V62" s="7">
        <v>0.54400000000000004</v>
      </c>
      <c r="W62">
        <f t="shared" si="12"/>
        <v>0.17000000000000004</v>
      </c>
      <c r="X62">
        <f t="shared" si="13"/>
        <v>7.2037770332013418E-2</v>
      </c>
      <c r="Y62">
        <f t="shared" si="14"/>
        <v>0.50426439232409392</v>
      </c>
    </row>
    <row r="63" spans="1:25" x14ac:dyDescent="0.25">
      <c r="A63">
        <v>1</v>
      </c>
      <c r="J63">
        <v>2</v>
      </c>
      <c r="U63" t="s">
        <v>176</v>
      </c>
      <c r="V63" s="13">
        <v>0.83499999999999996</v>
      </c>
      <c r="W63">
        <f t="shared" si="12"/>
        <v>0.46099999999999997</v>
      </c>
      <c r="X63">
        <f t="shared" si="13"/>
        <v>0.21976850441669202</v>
      </c>
      <c r="Y63">
        <f t="shared" si="14"/>
        <v>1.5383795309168442</v>
      </c>
    </row>
    <row r="64" spans="1:25" x14ac:dyDescent="0.25">
      <c r="U64" t="s">
        <v>177</v>
      </c>
      <c r="V64" s="6">
        <v>0.60699999999999998</v>
      </c>
      <c r="W64">
        <f t="shared" si="12"/>
        <v>0.23299999999999998</v>
      </c>
      <c r="X64">
        <f t="shared" si="13"/>
        <v>0.10402071276271702</v>
      </c>
      <c r="Y64">
        <f t="shared" si="14"/>
        <v>0.72814498933901906</v>
      </c>
    </row>
    <row r="65" spans="20:25" x14ac:dyDescent="0.25">
      <c r="U65" t="s">
        <v>178</v>
      </c>
      <c r="V65" s="5">
        <v>0.66</v>
      </c>
      <c r="W65">
        <f t="shared" si="12"/>
        <v>0.28600000000000003</v>
      </c>
      <c r="X65">
        <f t="shared" si="13"/>
        <v>0.13092699766473756</v>
      </c>
      <c r="Y65">
        <f t="shared" si="14"/>
        <v>0.91648898365316289</v>
      </c>
    </row>
    <row r="66" spans="20:25" x14ac:dyDescent="0.25">
      <c r="U66" t="s">
        <v>179</v>
      </c>
      <c r="V66" s="13">
        <v>0.84599999999999997</v>
      </c>
      <c r="W66">
        <f t="shared" si="12"/>
        <v>0.47199999999999998</v>
      </c>
      <c r="X66">
        <f t="shared" si="13"/>
        <v>0.22535282769824347</v>
      </c>
      <c r="Y66">
        <f t="shared" si="14"/>
        <v>1.5774697938877043</v>
      </c>
    </row>
    <row r="67" spans="20:25" x14ac:dyDescent="0.25">
      <c r="U67" t="s">
        <v>180</v>
      </c>
      <c r="V67" s="15">
        <v>0.91900000000000004</v>
      </c>
      <c r="W67">
        <f t="shared" si="12"/>
        <v>0.54500000000000004</v>
      </c>
      <c r="X67">
        <f t="shared" si="13"/>
        <v>0.26241242765763023</v>
      </c>
      <c r="Y67">
        <f t="shared" si="14"/>
        <v>1.8368869936034116</v>
      </c>
    </row>
    <row r="68" spans="20:25" x14ac:dyDescent="0.25">
      <c r="T68">
        <v>4</v>
      </c>
      <c r="U68" t="s">
        <v>0</v>
      </c>
      <c r="V68" t="s">
        <v>221</v>
      </c>
      <c r="W68" t="s">
        <v>222</v>
      </c>
      <c r="X68" t="s">
        <v>223</v>
      </c>
      <c r="Y68" t="s">
        <v>224</v>
      </c>
    </row>
    <row r="69" spans="20:25" x14ac:dyDescent="0.25">
      <c r="U69" t="s">
        <v>157</v>
      </c>
      <c r="V69" s="25">
        <v>0.70699999999999996</v>
      </c>
      <c r="W69">
        <f>V69-Q$21</f>
        <v>0.33849999999999997</v>
      </c>
      <c r="X69">
        <f>(W69-0.0482)/1.773</f>
        <v>0.16373378454596726</v>
      </c>
      <c r="Y69">
        <f>X69*7</f>
        <v>1.1461364918217709</v>
      </c>
    </row>
    <row r="70" spans="20:25" x14ac:dyDescent="0.25">
      <c r="U70" t="s">
        <v>159</v>
      </c>
      <c r="V70" s="26">
        <v>0.88900000000000001</v>
      </c>
      <c r="W70">
        <f t="shared" ref="W70:W88" si="15">V70-Q$21</f>
        <v>0.52049999999999996</v>
      </c>
      <c r="X70">
        <f t="shared" ref="X70:X88" si="16">(W70-0.0482)/1.773</f>
        <v>0.26638465877044554</v>
      </c>
      <c r="Y70">
        <f t="shared" ref="Y70:Y88" si="17">X70*7</f>
        <v>1.8646926113931188</v>
      </c>
    </row>
    <row r="71" spans="20:25" x14ac:dyDescent="0.25">
      <c r="U71" t="s">
        <v>160</v>
      </c>
      <c r="V71" s="25">
        <v>0.72</v>
      </c>
      <c r="W71">
        <f t="shared" si="15"/>
        <v>0.35149999999999998</v>
      </c>
      <c r="X71">
        <f t="shared" si="16"/>
        <v>0.17106598984771573</v>
      </c>
      <c r="Y71">
        <f t="shared" si="17"/>
        <v>1.19746192893401</v>
      </c>
    </row>
    <row r="72" spans="20:25" x14ac:dyDescent="0.25">
      <c r="U72" t="s">
        <v>161</v>
      </c>
      <c r="V72" s="27">
        <v>0.8</v>
      </c>
      <c r="W72">
        <f t="shared" si="15"/>
        <v>0.43150000000000005</v>
      </c>
      <c r="X72">
        <f t="shared" si="16"/>
        <v>0.21618725324309082</v>
      </c>
      <c r="Y72">
        <f t="shared" si="17"/>
        <v>1.5133107727016357</v>
      </c>
    </row>
    <row r="73" spans="20:25" x14ac:dyDescent="0.25">
      <c r="U73" t="s">
        <v>162</v>
      </c>
      <c r="V73" s="26">
        <v>0.83099999999999996</v>
      </c>
      <c r="W73">
        <f t="shared" si="15"/>
        <v>0.46249999999999997</v>
      </c>
      <c r="X73">
        <f t="shared" si="16"/>
        <v>0.23367174280879863</v>
      </c>
      <c r="Y73">
        <f t="shared" si="17"/>
        <v>1.6357021996615904</v>
      </c>
    </row>
    <row r="74" spans="20:25" x14ac:dyDescent="0.25">
      <c r="U74" t="s">
        <v>163</v>
      </c>
      <c r="V74" s="26">
        <v>0.86399999999999999</v>
      </c>
      <c r="W74">
        <f t="shared" si="15"/>
        <v>0.4955</v>
      </c>
      <c r="X74">
        <f t="shared" si="16"/>
        <v>0.25228426395939085</v>
      </c>
      <c r="Y74">
        <f t="shared" si="17"/>
        <v>1.7659898477157361</v>
      </c>
    </row>
    <row r="75" spans="20:25" x14ac:dyDescent="0.25">
      <c r="U75" t="s">
        <v>164</v>
      </c>
      <c r="V75" s="25">
        <v>0.73199999999999998</v>
      </c>
      <c r="W75">
        <f t="shared" si="15"/>
        <v>0.36349999999999999</v>
      </c>
      <c r="X75">
        <f t="shared" si="16"/>
        <v>0.17783417935702198</v>
      </c>
      <c r="Y75">
        <f t="shared" si="17"/>
        <v>1.2448392554991539</v>
      </c>
    </row>
    <row r="76" spans="20:25" x14ac:dyDescent="0.25">
      <c r="U76" t="s">
        <v>166</v>
      </c>
      <c r="V76" s="26">
        <v>0.86699999999999999</v>
      </c>
      <c r="W76">
        <f t="shared" si="15"/>
        <v>0.4985</v>
      </c>
      <c r="X76">
        <f t="shared" si="16"/>
        <v>0.25397631133671744</v>
      </c>
      <c r="Y76">
        <f t="shared" si="17"/>
        <v>1.777834179357022</v>
      </c>
    </row>
    <row r="77" spans="20:25" x14ac:dyDescent="0.25">
      <c r="U77" t="s">
        <v>169</v>
      </c>
      <c r="V77" s="25">
        <v>0.746</v>
      </c>
      <c r="W77">
        <f t="shared" si="15"/>
        <v>0.3775</v>
      </c>
      <c r="X77">
        <f t="shared" si="16"/>
        <v>0.18573040045121264</v>
      </c>
      <c r="Y77">
        <f t="shared" si="17"/>
        <v>1.3001128031584885</v>
      </c>
    </row>
    <row r="78" spans="20:25" x14ac:dyDescent="0.25">
      <c r="U78" t="s">
        <v>170</v>
      </c>
      <c r="V78" s="26">
        <v>0.83299999999999996</v>
      </c>
      <c r="W78">
        <f t="shared" si="15"/>
        <v>0.46449999999999997</v>
      </c>
      <c r="X78">
        <f t="shared" si="16"/>
        <v>0.23479977439368302</v>
      </c>
      <c r="Y78">
        <f t="shared" si="17"/>
        <v>1.6435984207557812</v>
      </c>
    </row>
    <row r="79" spans="20:25" x14ac:dyDescent="0.25">
      <c r="U79" t="s">
        <v>171</v>
      </c>
      <c r="V79" s="25">
        <v>0.71499999999999997</v>
      </c>
      <c r="W79">
        <f t="shared" si="15"/>
        <v>0.34649999999999997</v>
      </c>
      <c r="X79">
        <f t="shared" si="16"/>
        <v>0.16824591088550478</v>
      </c>
      <c r="Y79">
        <f t="shared" si="17"/>
        <v>1.1777213761985335</v>
      </c>
    </row>
    <row r="80" spans="20:25" x14ac:dyDescent="0.25">
      <c r="U80" t="s">
        <v>172</v>
      </c>
      <c r="V80" s="27">
        <v>0.82299999999999995</v>
      </c>
      <c r="W80">
        <f t="shared" si="15"/>
        <v>0.45449999999999996</v>
      </c>
      <c r="X80">
        <f t="shared" si="16"/>
        <v>0.22915961646926111</v>
      </c>
      <c r="Y80">
        <f t="shared" si="17"/>
        <v>1.6041173152848278</v>
      </c>
    </row>
    <row r="81" spans="1:25" x14ac:dyDescent="0.25">
      <c r="A81">
        <v>3</v>
      </c>
      <c r="J81">
        <v>4</v>
      </c>
      <c r="U81" t="s">
        <v>173</v>
      </c>
      <c r="V81" s="27">
        <v>0.80800000000000005</v>
      </c>
      <c r="W81">
        <f t="shared" si="15"/>
        <v>0.43950000000000006</v>
      </c>
      <c r="X81">
        <f t="shared" si="16"/>
        <v>0.22069937958262834</v>
      </c>
      <c r="Y81">
        <f t="shared" si="17"/>
        <v>1.5448956570783983</v>
      </c>
    </row>
    <row r="82" spans="1:25" x14ac:dyDescent="0.25">
      <c r="U82" t="s">
        <v>174</v>
      </c>
      <c r="V82" s="27">
        <v>0.80500000000000005</v>
      </c>
      <c r="W82">
        <f t="shared" si="15"/>
        <v>0.43650000000000005</v>
      </c>
      <c r="X82">
        <f t="shared" si="16"/>
        <v>0.21900733220530177</v>
      </c>
      <c r="Y82">
        <f t="shared" si="17"/>
        <v>1.5330513254371123</v>
      </c>
    </row>
    <row r="83" spans="1:25" x14ac:dyDescent="0.25">
      <c r="U83" t="s">
        <v>175</v>
      </c>
      <c r="V83" s="28">
        <v>0.67600000000000005</v>
      </c>
      <c r="W83">
        <f t="shared" si="15"/>
        <v>0.30750000000000005</v>
      </c>
      <c r="X83">
        <f t="shared" si="16"/>
        <v>0.14624929498025946</v>
      </c>
      <c r="Y83">
        <f t="shared" si="17"/>
        <v>1.0237450648618163</v>
      </c>
    </row>
    <row r="84" spans="1:25" x14ac:dyDescent="0.25">
      <c r="U84" t="s">
        <v>176</v>
      </c>
      <c r="V84" s="27">
        <v>0.78900000000000003</v>
      </c>
      <c r="W84">
        <f t="shared" si="15"/>
        <v>0.42050000000000004</v>
      </c>
      <c r="X84">
        <f t="shared" si="16"/>
        <v>0.20998307952622675</v>
      </c>
      <c r="Y84">
        <f t="shared" si="17"/>
        <v>1.4698815566835872</v>
      </c>
    </row>
    <row r="85" spans="1:25" x14ac:dyDescent="0.25">
      <c r="U85" t="s">
        <v>177</v>
      </c>
      <c r="V85" s="27">
        <v>0.80800000000000005</v>
      </c>
      <c r="W85">
        <f t="shared" si="15"/>
        <v>0.43950000000000006</v>
      </c>
      <c r="X85">
        <f t="shared" si="16"/>
        <v>0.22069937958262834</v>
      </c>
      <c r="Y85">
        <f t="shared" si="17"/>
        <v>1.5448956570783983</v>
      </c>
    </row>
    <row r="86" spans="1:25" x14ac:dyDescent="0.25">
      <c r="U86" t="s">
        <v>178</v>
      </c>
      <c r="V86" s="26">
        <v>0.89100000000000001</v>
      </c>
      <c r="W86">
        <f t="shared" si="15"/>
        <v>0.52249999999999996</v>
      </c>
      <c r="X86">
        <f t="shared" si="16"/>
        <v>0.26751269035532993</v>
      </c>
      <c r="Y86">
        <f t="shared" si="17"/>
        <v>1.8725888324873095</v>
      </c>
    </row>
    <row r="87" spans="1:25" x14ac:dyDescent="0.25">
      <c r="U87" t="s">
        <v>179</v>
      </c>
      <c r="V87" s="27">
        <v>0.80300000000000005</v>
      </c>
      <c r="W87">
        <f t="shared" si="15"/>
        <v>0.43450000000000005</v>
      </c>
      <c r="X87">
        <f t="shared" si="16"/>
        <v>0.21787930062041741</v>
      </c>
      <c r="Y87">
        <f t="shared" si="17"/>
        <v>1.5251551043429219</v>
      </c>
    </row>
    <row r="88" spans="1:25" x14ac:dyDescent="0.25">
      <c r="U88" t="s">
        <v>180</v>
      </c>
      <c r="V88" s="28">
        <v>0.68400000000000005</v>
      </c>
      <c r="W88">
        <f t="shared" si="15"/>
        <v>0.31550000000000006</v>
      </c>
      <c r="X88">
        <f t="shared" si="16"/>
        <v>0.15076142131979697</v>
      </c>
      <c r="Y88">
        <f t="shared" si="17"/>
        <v>1.0553299492385788</v>
      </c>
    </row>
    <row r="89" spans="1:25" x14ac:dyDescent="0.25">
      <c r="T89">
        <v>5</v>
      </c>
      <c r="U89" t="s">
        <v>0</v>
      </c>
      <c r="V89" t="s">
        <v>221</v>
      </c>
      <c r="W89" t="s">
        <v>222</v>
      </c>
      <c r="X89" t="s">
        <v>223</v>
      </c>
      <c r="Y89" t="s">
        <v>224</v>
      </c>
    </row>
    <row r="90" spans="1:25" x14ac:dyDescent="0.25">
      <c r="U90" t="s">
        <v>157</v>
      </c>
      <c r="V90" s="37">
        <v>0.56200000000000006</v>
      </c>
      <c r="W90">
        <f>V90-Q$27</f>
        <v>0.22450000000000003</v>
      </c>
      <c r="X90">
        <f>(W90-0.0625)/1.6528</f>
        <v>9.8015488867376585E-2</v>
      </c>
      <c r="Y90">
        <f>X90*7</f>
        <v>0.68610842207163614</v>
      </c>
    </row>
    <row r="91" spans="1:25" x14ac:dyDescent="0.25">
      <c r="U91" t="s">
        <v>159</v>
      </c>
      <c r="V91" s="38">
        <v>0.88800000000000001</v>
      </c>
      <c r="W91">
        <f t="shared" ref="W91:W109" si="18">V91-Q$27</f>
        <v>0.55049999999999999</v>
      </c>
      <c r="X91">
        <f t="shared" ref="X91:X109" si="19">(W91-0.0625)/1.6528</f>
        <v>0.29525653436592447</v>
      </c>
      <c r="Y91">
        <f t="shared" ref="Y91:Y109" si="20">X91*7</f>
        <v>2.0667957405614712</v>
      </c>
    </row>
    <row r="92" spans="1:25" x14ac:dyDescent="0.25">
      <c r="U92" t="s">
        <v>160</v>
      </c>
      <c r="V92" s="39">
        <v>0.77200000000000002</v>
      </c>
      <c r="W92">
        <f t="shared" si="18"/>
        <v>0.4345</v>
      </c>
      <c r="X92">
        <f t="shared" si="19"/>
        <v>0.22507260406582769</v>
      </c>
      <c r="Y92">
        <f t="shared" si="20"/>
        <v>1.5755082284607937</v>
      </c>
    </row>
    <row r="93" spans="1:25" x14ac:dyDescent="0.25">
      <c r="U93" t="s">
        <v>161</v>
      </c>
      <c r="V93" s="39">
        <v>0.76800000000000002</v>
      </c>
      <c r="W93">
        <f t="shared" si="18"/>
        <v>0.43049999999999999</v>
      </c>
      <c r="X93">
        <f t="shared" si="19"/>
        <v>0.22265246853823814</v>
      </c>
      <c r="Y93">
        <f t="shared" si="20"/>
        <v>1.5585672797676671</v>
      </c>
    </row>
    <row r="94" spans="1:25" x14ac:dyDescent="0.25">
      <c r="U94" t="s">
        <v>162</v>
      </c>
      <c r="V94" s="40">
        <v>0.69799999999999995</v>
      </c>
      <c r="W94">
        <f t="shared" si="18"/>
        <v>0.36049999999999993</v>
      </c>
      <c r="X94">
        <f t="shared" si="19"/>
        <v>0.18030009680542106</v>
      </c>
      <c r="Y94">
        <f t="shared" si="20"/>
        <v>1.2621006776379473</v>
      </c>
    </row>
    <row r="95" spans="1:25" x14ac:dyDescent="0.25">
      <c r="U95" t="s">
        <v>163</v>
      </c>
      <c r="V95" s="40">
        <v>0.65900000000000003</v>
      </c>
      <c r="W95">
        <f t="shared" si="18"/>
        <v>0.32150000000000001</v>
      </c>
      <c r="X95">
        <f t="shared" si="19"/>
        <v>0.15670377541142305</v>
      </c>
      <c r="Y95">
        <f t="shared" si="20"/>
        <v>1.0969264278799613</v>
      </c>
    </row>
    <row r="96" spans="1:25" x14ac:dyDescent="0.25">
      <c r="U96" t="s">
        <v>164</v>
      </c>
      <c r="V96" s="40">
        <v>0.65300000000000002</v>
      </c>
      <c r="W96">
        <f t="shared" si="18"/>
        <v>0.3155</v>
      </c>
      <c r="X96">
        <f t="shared" si="19"/>
        <v>0.15307357212003872</v>
      </c>
      <c r="Y96">
        <f t="shared" si="20"/>
        <v>1.0715150048402711</v>
      </c>
    </row>
    <row r="97" spans="1:25" x14ac:dyDescent="0.25">
      <c r="U97" t="s">
        <v>166</v>
      </c>
      <c r="V97" s="39">
        <v>0.78300000000000003</v>
      </c>
      <c r="W97">
        <f t="shared" si="18"/>
        <v>0.44550000000000001</v>
      </c>
      <c r="X97">
        <f t="shared" si="19"/>
        <v>0.23172797676669893</v>
      </c>
      <c r="Y97">
        <f t="shared" si="20"/>
        <v>1.6220958373668926</v>
      </c>
    </row>
    <row r="98" spans="1:25" x14ac:dyDescent="0.25">
      <c r="U98" t="s">
        <v>169</v>
      </c>
      <c r="V98" s="41">
        <v>0.72699999999999998</v>
      </c>
      <c r="W98">
        <f t="shared" si="18"/>
        <v>0.38949999999999996</v>
      </c>
      <c r="X98">
        <f t="shared" si="19"/>
        <v>0.19784607938044527</v>
      </c>
      <c r="Y98">
        <f t="shared" si="20"/>
        <v>1.3849225556631168</v>
      </c>
    </row>
    <row r="99" spans="1:25" x14ac:dyDescent="0.25">
      <c r="A99">
        <v>5</v>
      </c>
      <c r="J99">
        <v>6</v>
      </c>
      <c r="U99" t="s">
        <v>170</v>
      </c>
      <c r="V99" s="39">
        <v>0.80400000000000005</v>
      </c>
      <c r="W99">
        <f t="shared" si="18"/>
        <v>0.46650000000000003</v>
      </c>
      <c r="X99">
        <f t="shared" si="19"/>
        <v>0.24443368828654405</v>
      </c>
      <c r="Y99">
        <f t="shared" si="20"/>
        <v>1.7110358180058083</v>
      </c>
    </row>
    <row r="100" spans="1:25" x14ac:dyDescent="0.25">
      <c r="U100" t="s">
        <v>171</v>
      </c>
      <c r="V100" s="39">
        <v>0.77200000000000002</v>
      </c>
      <c r="W100">
        <f t="shared" si="18"/>
        <v>0.4345</v>
      </c>
      <c r="X100">
        <f t="shared" si="19"/>
        <v>0.22507260406582769</v>
      </c>
      <c r="Y100">
        <f t="shared" si="20"/>
        <v>1.5755082284607937</v>
      </c>
    </row>
    <row r="101" spans="1:25" x14ac:dyDescent="0.25">
      <c r="U101" t="s">
        <v>172</v>
      </c>
      <c r="V101" s="39">
        <v>0.79200000000000004</v>
      </c>
      <c r="W101">
        <f t="shared" si="18"/>
        <v>0.45450000000000002</v>
      </c>
      <c r="X101">
        <f t="shared" si="19"/>
        <v>0.23717328170377541</v>
      </c>
      <c r="Y101">
        <f t="shared" si="20"/>
        <v>1.6602129719264278</v>
      </c>
    </row>
    <row r="102" spans="1:25" x14ac:dyDescent="0.25">
      <c r="U102" t="s">
        <v>173</v>
      </c>
      <c r="V102" s="41">
        <v>0.75900000000000001</v>
      </c>
      <c r="W102">
        <f t="shared" si="18"/>
        <v>0.42149999999999999</v>
      </c>
      <c r="X102">
        <f t="shared" si="19"/>
        <v>0.21720716360116166</v>
      </c>
      <c r="Y102">
        <f t="shared" si="20"/>
        <v>1.5204501452081316</v>
      </c>
    </row>
    <row r="103" spans="1:25" x14ac:dyDescent="0.25">
      <c r="U103" t="s">
        <v>174</v>
      </c>
      <c r="V103" s="41">
        <v>0.745</v>
      </c>
      <c r="W103">
        <f t="shared" si="18"/>
        <v>0.40749999999999997</v>
      </c>
      <c r="X103">
        <f t="shared" si="19"/>
        <v>0.20873668925459823</v>
      </c>
      <c r="Y103">
        <f t="shared" si="20"/>
        <v>1.4611568247821876</v>
      </c>
    </row>
    <row r="104" spans="1:25" x14ac:dyDescent="0.25">
      <c r="U104" t="s">
        <v>175</v>
      </c>
      <c r="V104" s="40">
        <v>0.65</v>
      </c>
      <c r="W104">
        <f t="shared" si="18"/>
        <v>0.3125</v>
      </c>
      <c r="X104">
        <f t="shared" si="19"/>
        <v>0.15125847047434657</v>
      </c>
      <c r="Y104">
        <f t="shared" si="20"/>
        <v>1.0588092933204261</v>
      </c>
    </row>
    <row r="105" spans="1:25" x14ac:dyDescent="0.25">
      <c r="U105" t="s">
        <v>176</v>
      </c>
      <c r="V105" s="41">
        <v>0.76</v>
      </c>
      <c r="W105">
        <f t="shared" si="18"/>
        <v>0.42249999999999999</v>
      </c>
      <c r="X105">
        <f t="shared" si="19"/>
        <v>0.21781219748305905</v>
      </c>
      <c r="Y105">
        <f t="shared" si="20"/>
        <v>1.5246853823814133</v>
      </c>
    </row>
    <row r="106" spans="1:25" x14ac:dyDescent="0.25">
      <c r="U106" t="s">
        <v>177</v>
      </c>
      <c r="V106" s="41">
        <v>0.70499999999999996</v>
      </c>
      <c r="W106">
        <f t="shared" si="18"/>
        <v>0.36749999999999994</v>
      </c>
      <c r="X106">
        <f t="shared" si="19"/>
        <v>0.18453533397870275</v>
      </c>
      <c r="Y106">
        <f t="shared" si="20"/>
        <v>1.2917473378509192</v>
      </c>
    </row>
    <row r="107" spans="1:25" x14ac:dyDescent="0.25">
      <c r="U107" t="s">
        <v>178</v>
      </c>
      <c r="V107" s="38">
        <v>0.85</v>
      </c>
      <c r="W107">
        <f t="shared" si="18"/>
        <v>0.51249999999999996</v>
      </c>
      <c r="X107">
        <f t="shared" si="19"/>
        <v>0.27226524685382381</v>
      </c>
      <c r="Y107">
        <f t="shared" si="20"/>
        <v>1.9058567279767666</v>
      </c>
    </row>
    <row r="108" spans="1:25" x14ac:dyDescent="0.25">
      <c r="U108" t="s">
        <v>179</v>
      </c>
      <c r="V108" s="41">
        <v>0.72</v>
      </c>
      <c r="W108">
        <f t="shared" si="18"/>
        <v>0.38249999999999995</v>
      </c>
      <c r="X108">
        <f t="shared" si="19"/>
        <v>0.19361084220716357</v>
      </c>
      <c r="Y108">
        <f t="shared" si="20"/>
        <v>1.3552758954501449</v>
      </c>
    </row>
    <row r="109" spans="1:25" x14ac:dyDescent="0.25">
      <c r="U109" t="s">
        <v>180</v>
      </c>
      <c r="V109" s="41">
        <v>0.70799999999999996</v>
      </c>
      <c r="W109">
        <f t="shared" si="18"/>
        <v>0.37049999999999994</v>
      </c>
      <c r="X109">
        <f t="shared" si="19"/>
        <v>0.18635043562439493</v>
      </c>
      <c r="Y109">
        <f t="shared" si="20"/>
        <v>1.3044530493707645</v>
      </c>
    </row>
    <row r="110" spans="1:25" x14ac:dyDescent="0.25">
      <c r="T110">
        <v>6</v>
      </c>
      <c r="U110" t="s">
        <v>0</v>
      </c>
      <c r="V110" t="s">
        <v>221</v>
      </c>
      <c r="W110" t="s">
        <v>222</v>
      </c>
      <c r="X110" t="s">
        <v>223</v>
      </c>
      <c r="Y110" t="s">
        <v>224</v>
      </c>
    </row>
    <row r="111" spans="1:25" x14ac:dyDescent="0.25">
      <c r="U111" t="s">
        <v>157</v>
      </c>
      <c r="V111" s="40">
        <v>0.70599999999999996</v>
      </c>
      <c r="W111">
        <f>V111-Q$33</f>
        <v>0.34499999999999997</v>
      </c>
      <c r="X111">
        <f>(W111-0.0659)/1.6479</f>
        <v>0.16936707324473571</v>
      </c>
      <c r="Y111">
        <f>7*X111</f>
        <v>1.18556951271315</v>
      </c>
    </row>
    <row r="112" spans="1:25" x14ac:dyDescent="0.25">
      <c r="U112" t="s">
        <v>159</v>
      </c>
      <c r="V112" s="38">
        <v>0.88100000000000001</v>
      </c>
      <c r="W112">
        <f t="shared" ref="W112:W130" si="21">V112-Q$33</f>
        <v>0.52</v>
      </c>
      <c r="X112">
        <f t="shared" ref="X112:X130" si="22">(W112-0.0659)/1.6479</f>
        <v>0.27556283755082228</v>
      </c>
      <c r="Y112">
        <f t="shared" ref="Y112:Y130" si="23">7*X112</f>
        <v>1.9289398628557559</v>
      </c>
    </row>
    <row r="113" spans="21:25" x14ac:dyDescent="0.25">
      <c r="U113" t="s">
        <v>160</v>
      </c>
      <c r="V113" s="39">
        <v>0.82599999999999996</v>
      </c>
      <c r="W113">
        <f t="shared" si="21"/>
        <v>0.46499999999999997</v>
      </c>
      <c r="X113">
        <f t="shared" si="22"/>
        <v>0.24218702591176647</v>
      </c>
      <c r="Y113">
        <f t="shared" si="23"/>
        <v>1.6953091813823653</v>
      </c>
    </row>
    <row r="114" spans="21:25" x14ac:dyDescent="0.25">
      <c r="U114" t="s">
        <v>161</v>
      </c>
      <c r="V114" s="41">
        <v>0.78</v>
      </c>
      <c r="W114">
        <f t="shared" si="21"/>
        <v>0.41900000000000004</v>
      </c>
      <c r="X114">
        <f t="shared" si="22"/>
        <v>0.21427271072273807</v>
      </c>
      <c r="Y114">
        <f t="shared" si="23"/>
        <v>1.4999089750591665</v>
      </c>
    </row>
    <row r="115" spans="21:25" x14ac:dyDescent="0.25">
      <c r="U115" t="s">
        <v>162</v>
      </c>
      <c r="V115" s="41">
        <v>0.79400000000000004</v>
      </c>
      <c r="W115">
        <f t="shared" si="21"/>
        <v>0.43300000000000005</v>
      </c>
      <c r="X115">
        <f t="shared" si="22"/>
        <v>0.22276837186722498</v>
      </c>
      <c r="Y115">
        <f t="shared" si="23"/>
        <v>1.559378603070575</v>
      </c>
    </row>
    <row r="116" spans="21:25" x14ac:dyDescent="0.25">
      <c r="U116" t="s">
        <v>163</v>
      </c>
      <c r="V116" s="39">
        <v>0.84599999999999997</v>
      </c>
      <c r="W116">
        <f t="shared" si="21"/>
        <v>0.48499999999999999</v>
      </c>
      <c r="X116">
        <f t="shared" si="22"/>
        <v>0.25432368468960492</v>
      </c>
      <c r="Y116">
        <f t="shared" si="23"/>
        <v>1.7802657928272345</v>
      </c>
    </row>
    <row r="117" spans="21:25" x14ac:dyDescent="0.25">
      <c r="U117" t="s">
        <v>164</v>
      </c>
      <c r="V117" s="41">
        <v>0.75700000000000001</v>
      </c>
      <c r="W117">
        <f t="shared" si="21"/>
        <v>0.39600000000000002</v>
      </c>
      <c r="X117">
        <f t="shared" si="22"/>
        <v>0.2003155531282238</v>
      </c>
      <c r="Y117">
        <f t="shared" si="23"/>
        <v>1.4022088718975665</v>
      </c>
    </row>
    <row r="118" spans="21:25" x14ac:dyDescent="0.25">
      <c r="U118" t="s">
        <v>166</v>
      </c>
      <c r="V118" s="38">
        <v>0.88</v>
      </c>
      <c r="W118">
        <f t="shared" si="21"/>
        <v>0.51900000000000002</v>
      </c>
      <c r="X118">
        <f t="shared" si="22"/>
        <v>0.27495600461193037</v>
      </c>
      <c r="Y118">
        <f t="shared" si="23"/>
        <v>1.9246920322835126</v>
      </c>
    </row>
    <row r="119" spans="21:25" x14ac:dyDescent="0.25">
      <c r="U119" t="s">
        <v>169</v>
      </c>
      <c r="V119" s="39">
        <v>0.81699999999999995</v>
      </c>
      <c r="W119">
        <f t="shared" si="21"/>
        <v>0.45599999999999996</v>
      </c>
      <c r="X119">
        <f t="shared" si="22"/>
        <v>0.23672552946173916</v>
      </c>
      <c r="Y119">
        <f t="shared" si="23"/>
        <v>1.6570787062321741</v>
      </c>
    </row>
    <row r="120" spans="21:25" x14ac:dyDescent="0.25">
      <c r="U120" t="s">
        <v>170</v>
      </c>
      <c r="V120" s="39">
        <v>0.86</v>
      </c>
      <c r="W120">
        <f t="shared" si="21"/>
        <v>0.499</v>
      </c>
      <c r="X120">
        <f t="shared" si="22"/>
        <v>0.26281934583409189</v>
      </c>
      <c r="Y120">
        <f t="shared" si="23"/>
        <v>1.8397354208386432</v>
      </c>
    </row>
    <row r="121" spans="21:25" x14ac:dyDescent="0.25">
      <c r="U121" t="s">
        <v>171</v>
      </c>
      <c r="V121" s="39">
        <v>0.81</v>
      </c>
      <c r="W121">
        <f t="shared" si="21"/>
        <v>0.44900000000000007</v>
      </c>
      <c r="X121">
        <f t="shared" si="22"/>
        <v>0.23247769888949577</v>
      </c>
      <c r="Y121">
        <f t="shared" si="23"/>
        <v>1.6273438922264702</v>
      </c>
    </row>
    <row r="122" spans="21:25" x14ac:dyDescent="0.25">
      <c r="U122" t="s">
        <v>172</v>
      </c>
      <c r="V122" s="39">
        <v>0.85399999999999998</v>
      </c>
      <c r="W122">
        <f t="shared" si="21"/>
        <v>0.49299999999999999</v>
      </c>
      <c r="X122">
        <f t="shared" si="22"/>
        <v>0.25917834820074032</v>
      </c>
      <c r="Y122">
        <f t="shared" si="23"/>
        <v>1.8142484374051822</v>
      </c>
    </row>
    <row r="123" spans="21:25" x14ac:dyDescent="0.25">
      <c r="U123" t="s">
        <v>173</v>
      </c>
      <c r="V123" s="41">
        <v>0.80400000000000005</v>
      </c>
      <c r="W123">
        <f t="shared" si="21"/>
        <v>0.44300000000000006</v>
      </c>
      <c r="X123">
        <f t="shared" si="22"/>
        <v>0.22883670125614422</v>
      </c>
      <c r="Y123">
        <f t="shared" si="23"/>
        <v>1.6018569087930095</v>
      </c>
    </row>
    <row r="124" spans="21:25" x14ac:dyDescent="0.25">
      <c r="U124" t="s">
        <v>174</v>
      </c>
      <c r="V124" s="39">
        <v>0.82899999999999996</v>
      </c>
      <c r="W124">
        <f t="shared" si="21"/>
        <v>0.46799999999999997</v>
      </c>
      <c r="X124">
        <f t="shared" si="22"/>
        <v>0.24400752472844225</v>
      </c>
      <c r="Y124">
        <f t="shared" si="23"/>
        <v>1.7080526730990957</v>
      </c>
    </row>
    <row r="125" spans="21:25" x14ac:dyDescent="0.25">
      <c r="U125" t="s">
        <v>175</v>
      </c>
      <c r="V125" s="40">
        <v>0.68700000000000006</v>
      </c>
      <c r="W125">
        <f t="shared" si="21"/>
        <v>0.32600000000000007</v>
      </c>
      <c r="X125">
        <f t="shared" si="22"/>
        <v>0.15783724740578922</v>
      </c>
      <c r="Y125">
        <f t="shared" si="23"/>
        <v>1.1048607318405246</v>
      </c>
    </row>
    <row r="126" spans="21:25" x14ac:dyDescent="0.25">
      <c r="U126" t="s">
        <v>176</v>
      </c>
      <c r="V126" s="39">
        <v>0.82399999999999995</v>
      </c>
      <c r="W126">
        <f t="shared" si="21"/>
        <v>0.46299999999999997</v>
      </c>
      <c r="X126">
        <f t="shared" si="22"/>
        <v>0.24097336003398262</v>
      </c>
      <c r="Y126">
        <f t="shared" si="23"/>
        <v>1.6868135202378784</v>
      </c>
    </row>
    <row r="127" spans="21:25" x14ac:dyDescent="0.25">
      <c r="U127" t="s">
        <v>177</v>
      </c>
      <c r="V127" s="39">
        <v>0.81100000000000005</v>
      </c>
      <c r="W127">
        <f t="shared" si="21"/>
        <v>0.45000000000000007</v>
      </c>
      <c r="X127">
        <f t="shared" si="22"/>
        <v>0.23308453182838768</v>
      </c>
      <c r="Y127">
        <f t="shared" si="23"/>
        <v>1.6315917227987138</v>
      </c>
    </row>
    <row r="128" spans="21:25" x14ac:dyDescent="0.25">
      <c r="U128" t="s">
        <v>178</v>
      </c>
      <c r="V128" s="39">
        <v>0.85499999999999998</v>
      </c>
      <c r="W128">
        <f t="shared" si="21"/>
        <v>0.49399999999999999</v>
      </c>
      <c r="X128">
        <f t="shared" si="22"/>
        <v>0.25978518113963228</v>
      </c>
      <c r="Y128">
        <f t="shared" si="23"/>
        <v>1.8184962679774259</v>
      </c>
    </row>
    <row r="129" spans="21:25" x14ac:dyDescent="0.25">
      <c r="U129" t="s">
        <v>179</v>
      </c>
      <c r="V129" s="41">
        <v>0.78300000000000003</v>
      </c>
      <c r="W129">
        <f t="shared" si="21"/>
        <v>0.42200000000000004</v>
      </c>
      <c r="X129">
        <f t="shared" si="22"/>
        <v>0.21609320953941383</v>
      </c>
      <c r="Y129">
        <f t="shared" si="23"/>
        <v>1.5126524667758967</v>
      </c>
    </row>
    <row r="130" spans="21:25" x14ac:dyDescent="0.25">
      <c r="U130" t="s">
        <v>180</v>
      </c>
      <c r="V130" s="40">
        <v>0.68799999999999994</v>
      </c>
      <c r="W130">
        <f t="shared" si="21"/>
        <v>0.32699999999999996</v>
      </c>
      <c r="X130">
        <f t="shared" si="22"/>
        <v>0.15844408034468108</v>
      </c>
      <c r="Y130">
        <f t="shared" si="23"/>
        <v>1.1091085624127675</v>
      </c>
    </row>
  </sheetData>
  <mergeCells count="2">
    <mergeCell ref="P1:R1"/>
    <mergeCell ref="U1:X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42-3A26-4625-A134-9F1E59B7A270}">
  <dimension ref="A1:Y98"/>
  <sheetViews>
    <sheetView topLeftCell="G1" workbookViewId="0">
      <selection activeCell="T1" sqref="T1:Y2"/>
    </sheetView>
  </sheetViews>
  <sheetFormatPr defaultRowHeight="15" x14ac:dyDescent="0.25"/>
  <cols>
    <col min="17" max="17" width="22.140625" customWidth="1"/>
    <col min="18" max="18" width="18" customWidth="1"/>
    <col min="22" max="22" width="17.85546875" customWidth="1"/>
    <col min="23" max="23" width="21.5703125" customWidth="1"/>
    <col min="24" max="25" width="23.5703125" customWidth="1"/>
  </cols>
  <sheetData>
    <row r="1" spans="1:25" x14ac:dyDescent="0.25">
      <c r="A1">
        <v>1</v>
      </c>
      <c r="P1" s="96" t="s">
        <v>217</v>
      </c>
      <c r="Q1" s="96"/>
      <c r="R1" s="96"/>
      <c r="U1" s="96" t="s">
        <v>218</v>
      </c>
      <c r="V1" s="96"/>
      <c r="W1" s="96"/>
      <c r="X1" s="96"/>
    </row>
    <row r="2" spans="1:25" x14ac:dyDescent="0.25">
      <c r="A2" s="18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O2">
        <v>1</v>
      </c>
      <c r="Q2" t="s">
        <v>219</v>
      </c>
      <c r="R2" t="s">
        <v>220</v>
      </c>
      <c r="T2">
        <v>1</v>
      </c>
      <c r="U2" t="s">
        <v>0</v>
      </c>
      <c r="V2" t="s">
        <v>221</v>
      </c>
      <c r="W2" t="s">
        <v>222</v>
      </c>
      <c r="X2" t="s">
        <v>223</v>
      </c>
      <c r="Y2" t="s">
        <v>224</v>
      </c>
    </row>
    <row r="3" spans="1:25" x14ac:dyDescent="0.25">
      <c r="A3" s="2" t="s">
        <v>118</v>
      </c>
      <c r="B3" s="6">
        <v>0.36799999999999999</v>
      </c>
      <c r="C3" s="7">
        <v>0.34200000000000003</v>
      </c>
      <c r="D3" s="6">
        <v>0.36899999999999999</v>
      </c>
      <c r="E3" s="8">
        <v>0.59</v>
      </c>
      <c r="F3" s="8">
        <v>0.56799999999999995</v>
      </c>
      <c r="G3" s="10">
        <v>0.83699999999999997</v>
      </c>
      <c r="H3" s="8">
        <v>0.56499999999999995</v>
      </c>
      <c r="I3" s="13">
        <v>0.71499999999999997</v>
      </c>
      <c r="J3" s="8">
        <v>0.57199999999999995</v>
      </c>
      <c r="K3" s="8">
        <v>0.59</v>
      </c>
      <c r="L3" s="5">
        <v>0.51300000000000001</v>
      </c>
      <c r="M3" s="8">
        <v>0.55400000000000005</v>
      </c>
      <c r="P3">
        <v>0</v>
      </c>
      <c r="Q3">
        <f>AVERAGE(I8:I10)</f>
        <v>0.36466666666666664</v>
      </c>
      <c r="R3">
        <f>Q3-Q$3</f>
        <v>0</v>
      </c>
      <c r="U3" t="s">
        <v>181</v>
      </c>
      <c r="V3" s="8">
        <v>0.59</v>
      </c>
      <c r="W3">
        <f>V3-Q$3</f>
        <v>0.22533333333333333</v>
      </c>
      <c r="X3">
        <f>(W3-0.0672)/2.0071</f>
        <v>7.8786972912826145E-2</v>
      </c>
      <c r="Y3">
        <f>X3*7</f>
        <v>0.55150881038978306</v>
      </c>
    </row>
    <row r="4" spans="1:25" x14ac:dyDescent="0.25">
      <c r="A4" s="2" t="s">
        <v>120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P4">
        <v>0.05</v>
      </c>
      <c r="Q4">
        <f>AVERAGE(J8:J10)</f>
        <v>0.53233333333333333</v>
      </c>
      <c r="R4">
        <f t="shared" ref="R4:R7" si="0">Q4-Q$3</f>
        <v>0.16766666666666669</v>
      </c>
      <c r="U4" t="s">
        <v>182</v>
      </c>
      <c r="V4" s="8">
        <v>0.56799999999999995</v>
      </c>
      <c r="W4">
        <f t="shared" ref="W4:W13" si="1">V4-Q$3</f>
        <v>0.20333333333333331</v>
      </c>
      <c r="X4">
        <f t="shared" ref="X4:X13" si="2">(W4-0.0672)/2.0071</f>
        <v>6.7825884775712886E-2</v>
      </c>
      <c r="Y4">
        <f t="shared" ref="Y4:Y67" si="3">X4*7</f>
        <v>0.4747811934299902</v>
      </c>
    </row>
    <row r="5" spans="1:25" x14ac:dyDescent="0.25">
      <c r="A5" s="2" t="s">
        <v>76</v>
      </c>
      <c r="B5" s="4"/>
      <c r="C5" s="4"/>
      <c r="D5" s="4"/>
      <c r="E5" s="8">
        <v>0.56100000000000005</v>
      </c>
      <c r="F5" s="8">
        <v>0.59199999999999997</v>
      </c>
      <c r="G5" s="3">
        <v>4.5999999999999999E-2</v>
      </c>
      <c r="H5" s="4"/>
      <c r="I5" s="4"/>
      <c r="J5" s="4"/>
      <c r="K5" s="4"/>
      <c r="L5" s="4"/>
      <c r="M5" s="4"/>
      <c r="P5">
        <v>0.1</v>
      </c>
      <c r="Q5">
        <f>AVERAGE(K8:K10)</f>
        <v>0.71366666666666667</v>
      </c>
      <c r="R5">
        <f t="shared" si="0"/>
        <v>0.34900000000000003</v>
      </c>
      <c r="U5" t="s">
        <v>183</v>
      </c>
      <c r="V5" s="10">
        <v>0.83699999999999997</v>
      </c>
      <c r="W5">
        <f t="shared" si="1"/>
        <v>0.47233333333333333</v>
      </c>
      <c r="X5">
        <f t="shared" si="2"/>
        <v>0.20185009881587035</v>
      </c>
      <c r="Y5">
        <f t="shared" si="3"/>
        <v>1.4129506917110923</v>
      </c>
    </row>
    <row r="6" spans="1:25" x14ac:dyDescent="0.25">
      <c r="A6" s="2" t="s">
        <v>121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P6">
        <v>0.25</v>
      </c>
      <c r="Q6">
        <f>AVERAGE(L8:L10)</f>
        <v>0.93800000000000006</v>
      </c>
      <c r="R6">
        <f t="shared" si="0"/>
        <v>0.57333333333333347</v>
      </c>
      <c r="U6" t="s">
        <v>184</v>
      </c>
      <c r="V6" s="8">
        <v>0.56499999999999995</v>
      </c>
      <c r="W6">
        <f t="shared" si="1"/>
        <v>0.20033333333333331</v>
      </c>
      <c r="X6">
        <f t="shared" si="2"/>
        <v>6.6331190938833801E-2</v>
      </c>
      <c r="Y6">
        <f t="shared" si="3"/>
        <v>0.46431833657183663</v>
      </c>
    </row>
    <row r="7" spans="1:25" x14ac:dyDescent="0.25">
      <c r="A7" s="2" t="s">
        <v>122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P7">
        <v>0.5</v>
      </c>
      <c r="Q7">
        <f>AVERAGE(M8:M10)</f>
        <v>1.417</v>
      </c>
      <c r="R7">
        <f t="shared" si="0"/>
        <v>1.0523333333333333</v>
      </c>
      <c r="U7" t="s">
        <v>185</v>
      </c>
      <c r="V7" s="13">
        <v>0.71499999999999997</v>
      </c>
      <c r="W7">
        <f t="shared" si="1"/>
        <v>0.35033333333333333</v>
      </c>
      <c r="X7">
        <f t="shared" si="2"/>
        <v>0.14106588278278778</v>
      </c>
      <c r="Y7">
        <f t="shared" si="3"/>
        <v>0.98746117947951451</v>
      </c>
    </row>
    <row r="8" spans="1:25" x14ac:dyDescent="0.25">
      <c r="A8" s="2" t="s">
        <v>123</v>
      </c>
      <c r="B8" s="4"/>
      <c r="C8" s="4"/>
      <c r="D8" s="4"/>
      <c r="E8" s="4"/>
      <c r="F8" s="4"/>
      <c r="G8" s="4"/>
      <c r="H8" s="4"/>
      <c r="I8" s="6">
        <v>0.36</v>
      </c>
      <c r="J8" s="5">
        <v>0.51700000000000002</v>
      </c>
      <c r="K8" s="13">
        <v>0.71799999999999997</v>
      </c>
      <c r="L8" s="16">
        <v>1.016</v>
      </c>
      <c r="M8" s="11">
        <v>1.41</v>
      </c>
      <c r="O8">
        <v>2</v>
      </c>
      <c r="U8" t="s">
        <v>186</v>
      </c>
      <c r="V8" s="8">
        <v>0.57199999999999995</v>
      </c>
      <c r="W8">
        <f t="shared" si="1"/>
        <v>0.20733333333333331</v>
      </c>
      <c r="X8">
        <f t="shared" si="2"/>
        <v>6.9818809891551661E-2</v>
      </c>
      <c r="Y8">
        <f t="shared" si="3"/>
        <v>0.48873166924086164</v>
      </c>
    </row>
    <row r="9" spans="1:25" x14ac:dyDescent="0.25">
      <c r="A9" s="2" t="s">
        <v>124</v>
      </c>
      <c r="B9" s="4"/>
      <c r="C9" s="4"/>
      <c r="D9" s="4"/>
      <c r="E9" s="4"/>
      <c r="F9" s="4"/>
      <c r="G9" s="4"/>
      <c r="H9" s="4"/>
      <c r="I9" s="6">
        <v>0.37</v>
      </c>
      <c r="J9" s="8">
        <v>0.54800000000000004</v>
      </c>
      <c r="K9" s="13">
        <v>0.72199999999999998</v>
      </c>
      <c r="L9" s="16">
        <v>0.98099999999999998</v>
      </c>
      <c r="M9" s="11">
        <v>1.4279999999999999</v>
      </c>
      <c r="P9">
        <v>0</v>
      </c>
      <c r="Q9">
        <f>AVERAGE(B13:D13)</f>
        <v>0.35499999999999998</v>
      </c>
      <c r="R9">
        <f>Q9-Q$9</f>
        <v>0</v>
      </c>
      <c r="U9" t="s">
        <v>187</v>
      </c>
      <c r="V9" s="8">
        <v>0.59</v>
      </c>
      <c r="W9">
        <f t="shared" si="1"/>
        <v>0.22533333333333333</v>
      </c>
      <c r="X9">
        <f t="shared" si="2"/>
        <v>7.8786972912826145E-2</v>
      </c>
      <c r="Y9">
        <f t="shared" si="3"/>
        <v>0.55150881038978306</v>
      </c>
    </row>
    <row r="10" spans="1:25" x14ac:dyDescent="0.25">
      <c r="A10" s="2" t="s">
        <v>125</v>
      </c>
      <c r="B10" s="4"/>
      <c r="C10" s="4"/>
      <c r="D10" s="4"/>
      <c r="E10" s="4"/>
      <c r="F10" s="4"/>
      <c r="G10" s="4"/>
      <c r="H10" s="4"/>
      <c r="I10" s="6">
        <v>0.36399999999999999</v>
      </c>
      <c r="J10" s="5">
        <v>0.53200000000000003</v>
      </c>
      <c r="K10" s="13">
        <v>0.70099999999999996</v>
      </c>
      <c r="L10" s="15">
        <v>0.81699999999999995</v>
      </c>
      <c r="M10" s="11">
        <v>1.413</v>
      </c>
      <c r="P10">
        <v>0.05</v>
      </c>
      <c r="Q10">
        <f>AVERAGE(J18:J20)</f>
        <v>0.49733333333333335</v>
      </c>
      <c r="R10">
        <f t="shared" ref="R10:R13" si="4">Q10-Q$9</f>
        <v>0.14233333333333337</v>
      </c>
      <c r="U10" t="s">
        <v>188</v>
      </c>
      <c r="V10" s="5">
        <v>0.51300000000000001</v>
      </c>
      <c r="W10">
        <f t="shared" si="1"/>
        <v>0.14833333333333337</v>
      </c>
      <c r="X10">
        <f t="shared" si="2"/>
        <v>4.0423164432929787E-2</v>
      </c>
      <c r="Y10">
        <f t="shared" si="3"/>
        <v>0.28296215103050848</v>
      </c>
    </row>
    <row r="11" spans="1:25" x14ac:dyDescent="0.25">
      <c r="A11">
        <v>2</v>
      </c>
      <c r="P11">
        <v>0.1</v>
      </c>
      <c r="Q11">
        <f>AVERAGE(K18:K20)</f>
        <v>0.71399999999999997</v>
      </c>
      <c r="R11">
        <f t="shared" si="4"/>
        <v>0.35899999999999999</v>
      </c>
      <c r="U11" t="s">
        <v>189</v>
      </c>
      <c r="V11" s="8">
        <v>0.55400000000000005</v>
      </c>
      <c r="W11">
        <f t="shared" si="1"/>
        <v>0.18933333333333341</v>
      </c>
      <c r="X11">
        <f t="shared" si="2"/>
        <v>6.0850646870277227E-2</v>
      </c>
      <c r="Y11">
        <f t="shared" si="3"/>
        <v>0.42595452809194057</v>
      </c>
    </row>
    <row r="12" spans="1:25" x14ac:dyDescent="0.25">
      <c r="A12" s="1"/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P12">
        <v>0.25</v>
      </c>
      <c r="Q12">
        <f>AVERAGE(L18:L20)</f>
        <v>1.0133333333333334</v>
      </c>
      <c r="R12">
        <f t="shared" si="4"/>
        <v>0.65833333333333344</v>
      </c>
      <c r="U12" t="s">
        <v>190</v>
      </c>
      <c r="V12" s="8">
        <v>0.56100000000000005</v>
      </c>
      <c r="W12">
        <f t="shared" si="1"/>
        <v>0.19633333333333342</v>
      </c>
      <c r="X12">
        <f t="shared" si="2"/>
        <v>6.4338265822995094E-2</v>
      </c>
      <c r="Y12">
        <f t="shared" si="3"/>
        <v>0.45036786076096569</v>
      </c>
    </row>
    <row r="13" spans="1:25" x14ac:dyDescent="0.25">
      <c r="A13" s="2" t="s">
        <v>118</v>
      </c>
      <c r="B13" s="6">
        <v>0.36699999999999999</v>
      </c>
      <c r="C13" s="6">
        <v>0.34599999999999997</v>
      </c>
      <c r="D13" s="6">
        <v>0.35199999999999998</v>
      </c>
      <c r="E13" s="8">
        <v>0.56499999999999995</v>
      </c>
      <c r="F13" s="8">
        <v>0.56100000000000005</v>
      </c>
      <c r="G13" s="15">
        <v>0.76400000000000001</v>
      </c>
      <c r="H13" s="8">
        <v>0.56499999999999995</v>
      </c>
      <c r="I13" s="13">
        <v>0.68400000000000005</v>
      </c>
      <c r="J13" s="8">
        <v>0.56299999999999994</v>
      </c>
      <c r="K13" s="8">
        <v>0.60599999999999998</v>
      </c>
      <c r="L13" s="5">
        <v>0.503</v>
      </c>
      <c r="M13" s="8">
        <v>0.53600000000000003</v>
      </c>
      <c r="P13">
        <v>0.5</v>
      </c>
      <c r="Q13">
        <f>AVERAGE(M18:M20)</f>
        <v>1.381</v>
      </c>
      <c r="R13">
        <f t="shared" si="4"/>
        <v>1.026</v>
      </c>
      <c r="U13" t="s">
        <v>191</v>
      </c>
      <c r="V13" s="8">
        <v>0.59199999999999997</v>
      </c>
      <c r="W13">
        <f t="shared" si="1"/>
        <v>0.22733333333333333</v>
      </c>
      <c r="X13">
        <f t="shared" si="2"/>
        <v>7.978343547074554E-2</v>
      </c>
      <c r="Y13">
        <f t="shared" si="3"/>
        <v>0.5584840482952188</v>
      </c>
    </row>
    <row r="14" spans="1:25" x14ac:dyDescent="0.25">
      <c r="A14" s="2" t="s">
        <v>120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O14">
        <v>3</v>
      </c>
      <c r="T14">
        <v>2</v>
      </c>
      <c r="U14" t="s">
        <v>0</v>
      </c>
      <c r="V14" t="s">
        <v>221</v>
      </c>
      <c r="W14" t="s">
        <v>222</v>
      </c>
      <c r="X14" t="s">
        <v>223</v>
      </c>
      <c r="Y14" t="s">
        <v>224</v>
      </c>
    </row>
    <row r="15" spans="1:25" x14ac:dyDescent="0.25">
      <c r="A15" s="2" t="s">
        <v>76</v>
      </c>
      <c r="B15" s="4"/>
      <c r="C15" s="4"/>
      <c r="D15" s="4"/>
      <c r="E15" s="8">
        <v>0.55100000000000005</v>
      </c>
      <c r="F15" s="8">
        <v>0.55100000000000005</v>
      </c>
      <c r="G15" s="3">
        <v>4.4999999999999998E-2</v>
      </c>
      <c r="H15" s="4"/>
      <c r="I15" s="4"/>
      <c r="J15" s="4"/>
      <c r="K15" s="4"/>
      <c r="L15" s="4"/>
      <c r="M15" s="4"/>
      <c r="P15">
        <v>0</v>
      </c>
      <c r="Q15">
        <f>AVERAGE(B23:D23)</f>
        <v>0.36400000000000005</v>
      </c>
      <c r="R15">
        <f>Q15-Q$15</f>
        <v>0</v>
      </c>
      <c r="U15" t="s">
        <v>181</v>
      </c>
      <c r="V15" s="8">
        <v>0.56499999999999995</v>
      </c>
      <c r="W15">
        <f>V15-Q$9</f>
        <v>0.20999999999999996</v>
      </c>
      <c r="X15">
        <f>(W15-0.0758)/2.0072</f>
        <v>6.6859306496612175E-2</v>
      </c>
      <c r="Y15">
        <f t="shared" si="3"/>
        <v>0.4680151454762852</v>
      </c>
    </row>
    <row r="16" spans="1:25" x14ac:dyDescent="0.25">
      <c r="A16" s="2" t="s">
        <v>121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P16">
        <v>0.05</v>
      </c>
      <c r="Q16">
        <f>AVERAGE(J28:J30)</f>
        <v>0.55666666666666675</v>
      </c>
      <c r="R16">
        <f t="shared" ref="R16:R19" si="5">Q16-Q$15</f>
        <v>0.19266666666666671</v>
      </c>
      <c r="U16" t="s">
        <v>182</v>
      </c>
      <c r="V16" s="8">
        <v>0.56100000000000005</v>
      </c>
      <c r="W16">
        <f t="shared" ref="W16:W25" si="6">V16-Q$9</f>
        <v>0.20600000000000007</v>
      </c>
      <c r="X16">
        <f t="shared" ref="X16:X25" si="7">(W16-0.0758)/2.0072</f>
        <v>6.4866480669589513E-2</v>
      </c>
      <c r="Y16">
        <f t="shared" si="3"/>
        <v>0.4540653646871266</v>
      </c>
    </row>
    <row r="17" spans="1:25" x14ac:dyDescent="0.25">
      <c r="A17" s="2" t="s">
        <v>122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P17">
        <v>0.1</v>
      </c>
      <c r="Q17">
        <f>AVERAGE(K28:K30)</f>
        <v>0.71699999999999997</v>
      </c>
      <c r="R17">
        <f t="shared" si="5"/>
        <v>0.35299999999999992</v>
      </c>
      <c r="U17" t="s">
        <v>183</v>
      </c>
      <c r="V17" s="15">
        <v>0.76400000000000001</v>
      </c>
      <c r="W17">
        <f t="shared" si="6"/>
        <v>0.40900000000000003</v>
      </c>
      <c r="X17">
        <f t="shared" si="7"/>
        <v>0.16600239139099243</v>
      </c>
      <c r="Y17">
        <f t="shared" si="3"/>
        <v>1.162016739736947</v>
      </c>
    </row>
    <row r="18" spans="1:25" x14ac:dyDescent="0.25">
      <c r="A18" s="2" t="s">
        <v>123</v>
      </c>
      <c r="B18" s="4"/>
      <c r="C18" s="4"/>
      <c r="D18" s="4"/>
      <c r="E18" s="4"/>
      <c r="F18" s="4"/>
      <c r="G18" s="4"/>
      <c r="H18" s="4"/>
      <c r="I18" s="3">
        <v>4.3999999999999997E-2</v>
      </c>
      <c r="J18" s="8">
        <v>0.55200000000000005</v>
      </c>
      <c r="K18" s="13">
        <v>0.71699999999999997</v>
      </c>
      <c r="L18" s="17">
        <v>1.01</v>
      </c>
      <c r="M18" s="11">
        <v>1.371</v>
      </c>
      <c r="P18">
        <v>0.25</v>
      </c>
      <c r="Q18">
        <f>AVERAGE(L28:L30)</f>
        <v>0.98233333333333339</v>
      </c>
      <c r="R18">
        <f t="shared" si="5"/>
        <v>0.6183333333333334</v>
      </c>
      <c r="U18" t="s">
        <v>184</v>
      </c>
      <c r="V18" s="8">
        <v>0.56499999999999995</v>
      </c>
      <c r="W18">
        <f t="shared" si="6"/>
        <v>0.20999999999999996</v>
      </c>
      <c r="X18">
        <f t="shared" si="7"/>
        <v>6.6859306496612175E-2</v>
      </c>
      <c r="Y18">
        <f t="shared" si="3"/>
        <v>0.4680151454762852</v>
      </c>
    </row>
    <row r="19" spans="1:25" x14ac:dyDescent="0.25">
      <c r="A19" s="2" t="s">
        <v>124</v>
      </c>
      <c r="B19" s="4"/>
      <c r="C19" s="4"/>
      <c r="D19" s="4"/>
      <c r="E19" s="4"/>
      <c r="F19" s="4"/>
      <c r="G19" s="4"/>
      <c r="H19" s="4"/>
      <c r="I19" s="3">
        <v>4.3999999999999997E-2</v>
      </c>
      <c r="J19" s="6">
        <v>0.39500000000000002</v>
      </c>
      <c r="K19" s="13">
        <v>0.71799999999999997</v>
      </c>
      <c r="L19" s="17">
        <v>1.0269999999999999</v>
      </c>
      <c r="M19" s="11">
        <v>1.395</v>
      </c>
      <c r="P19">
        <v>0.5</v>
      </c>
      <c r="Q19">
        <f>AVERAGE(M28:M30)</f>
        <v>1.4019999999999999</v>
      </c>
      <c r="R19">
        <f t="shared" si="5"/>
        <v>1.0379999999999998</v>
      </c>
      <c r="U19" t="s">
        <v>185</v>
      </c>
      <c r="V19" s="13">
        <v>0.68400000000000005</v>
      </c>
      <c r="W19">
        <f t="shared" si="6"/>
        <v>0.32900000000000007</v>
      </c>
      <c r="X19">
        <f t="shared" si="7"/>
        <v>0.1261458748505381</v>
      </c>
      <c r="Y19">
        <f t="shared" si="3"/>
        <v>0.88302112395376675</v>
      </c>
    </row>
    <row r="20" spans="1:25" x14ac:dyDescent="0.25">
      <c r="A20" s="2" t="s">
        <v>125</v>
      </c>
      <c r="B20" s="4"/>
      <c r="C20" s="4"/>
      <c r="D20" s="4"/>
      <c r="E20" s="4"/>
      <c r="F20" s="4"/>
      <c r="G20" s="4"/>
      <c r="H20" s="4"/>
      <c r="I20" s="3">
        <v>4.3999999999999997E-2</v>
      </c>
      <c r="J20" s="8">
        <v>0.54500000000000004</v>
      </c>
      <c r="K20" s="13">
        <v>0.70699999999999996</v>
      </c>
      <c r="L20" s="16">
        <v>1.0029999999999999</v>
      </c>
      <c r="M20" s="11">
        <v>1.377</v>
      </c>
      <c r="O20">
        <v>4</v>
      </c>
      <c r="U20" t="s">
        <v>186</v>
      </c>
      <c r="V20" s="8">
        <v>0.56299999999999994</v>
      </c>
      <c r="W20">
        <f t="shared" si="6"/>
        <v>0.20799999999999996</v>
      </c>
      <c r="X20">
        <f t="shared" si="7"/>
        <v>6.5862893583100809E-2</v>
      </c>
      <c r="Y20">
        <f t="shared" si="3"/>
        <v>0.46104025508170565</v>
      </c>
    </row>
    <row r="21" spans="1:25" x14ac:dyDescent="0.25">
      <c r="A21">
        <v>3</v>
      </c>
      <c r="P21">
        <v>0</v>
      </c>
      <c r="Q21">
        <f>AVERAGE(B33:C33)</f>
        <v>0.38</v>
      </c>
      <c r="R21">
        <f>Q21-Q$21</f>
        <v>0</v>
      </c>
      <c r="U21" t="s">
        <v>187</v>
      </c>
      <c r="V21" s="8">
        <v>0.60599999999999998</v>
      </c>
      <c r="W21">
        <f t="shared" si="6"/>
        <v>0.251</v>
      </c>
      <c r="X21">
        <f t="shared" si="7"/>
        <v>8.7285771223595057E-2</v>
      </c>
      <c r="Y21">
        <f t="shared" si="3"/>
        <v>0.61100039856516541</v>
      </c>
    </row>
    <row r="22" spans="1:25" x14ac:dyDescent="0.25">
      <c r="A22" s="1"/>
      <c r="B22" s="2">
        <v>1</v>
      </c>
      <c r="C22" s="2">
        <v>2</v>
      </c>
      <c r="D22" s="2">
        <v>3</v>
      </c>
      <c r="E22" s="2">
        <v>4</v>
      </c>
      <c r="F22" s="2">
        <v>5</v>
      </c>
      <c r="G22" s="2">
        <v>6</v>
      </c>
      <c r="H22" s="2">
        <v>7</v>
      </c>
      <c r="I22" s="2">
        <v>8</v>
      </c>
      <c r="J22" s="2">
        <v>9</v>
      </c>
      <c r="K22" s="2">
        <v>10</v>
      </c>
      <c r="L22" s="2">
        <v>11</v>
      </c>
      <c r="M22" s="2">
        <v>12</v>
      </c>
      <c r="P22">
        <v>0.05</v>
      </c>
      <c r="Q22">
        <f>AVERAGE(B34:C34)</f>
        <v>0.53900000000000003</v>
      </c>
      <c r="R22">
        <f t="shared" ref="R22:R25" si="8">Q22-Q$21</f>
        <v>0.15900000000000003</v>
      </c>
      <c r="U22" t="s">
        <v>188</v>
      </c>
      <c r="V22" s="5">
        <v>0.503</v>
      </c>
      <c r="W22">
        <f t="shared" si="6"/>
        <v>0.14800000000000002</v>
      </c>
      <c r="X22">
        <f t="shared" si="7"/>
        <v>3.597050617776007E-2</v>
      </c>
      <c r="Y22">
        <f t="shared" si="3"/>
        <v>0.25179354324432046</v>
      </c>
    </row>
    <row r="23" spans="1:25" x14ac:dyDescent="0.25">
      <c r="A23" s="2" t="s">
        <v>118</v>
      </c>
      <c r="B23" s="6">
        <v>0.34699999999999998</v>
      </c>
      <c r="C23" s="6">
        <v>0.371</v>
      </c>
      <c r="D23" s="6">
        <v>0.374</v>
      </c>
      <c r="E23" s="8">
        <v>0.56399999999999995</v>
      </c>
      <c r="F23" s="8">
        <v>0.56100000000000005</v>
      </c>
      <c r="G23" s="10">
        <v>0.874</v>
      </c>
      <c r="H23" s="8">
        <v>0.58399999999999996</v>
      </c>
      <c r="I23" s="15">
        <v>0.73</v>
      </c>
      <c r="J23" s="8">
        <v>0.56999999999999995</v>
      </c>
      <c r="K23" s="8">
        <v>0.54600000000000004</v>
      </c>
      <c r="L23" s="5">
        <v>0.52900000000000003</v>
      </c>
      <c r="M23" s="8">
        <v>0.57499999999999996</v>
      </c>
      <c r="P23">
        <v>0.1</v>
      </c>
      <c r="Q23">
        <f>AVERAGE(B36:C36)</f>
        <v>0.64050000000000007</v>
      </c>
      <c r="R23">
        <f t="shared" si="8"/>
        <v>0.26050000000000006</v>
      </c>
      <c r="U23" t="s">
        <v>189</v>
      </c>
      <c r="V23" s="8">
        <v>0.53600000000000003</v>
      </c>
      <c r="W23">
        <f t="shared" si="6"/>
        <v>0.18100000000000005</v>
      </c>
      <c r="X23">
        <f t="shared" si="7"/>
        <v>5.2411319250697509E-2</v>
      </c>
      <c r="Y23">
        <f t="shared" si="3"/>
        <v>0.36687923475488254</v>
      </c>
    </row>
    <row r="24" spans="1:25" x14ac:dyDescent="0.25">
      <c r="A24" s="2" t="s">
        <v>120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P24">
        <v>0.25</v>
      </c>
      <c r="Q24">
        <f>AVERAGE(B38:C38)</f>
        <v>0.86650000000000005</v>
      </c>
      <c r="R24">
        <f t="shared" si="8"/>
        <v>0.48650000000000004</v>
      </c>
      <c r="U24" t="s">
        <v>190</v>
      </c>
      <c r="V24" s="8">
        <v>0.55100000000000005</v>
      </c>
      <c r="W24">
        <f t="shared" si="6"/>
        <v>0.19600000000000006</v>
      </c>
      <c r="X24">
        <f t="shared" si="7"/>
        <v>5.9884416102032705E-2</v>
      </c>
      <c r="Y24">
        <f t="shared" si="3"/>
        <v>0.41919091271422892</v>
      </c>
    </row>
    <row r="25" spans="1:25" x14ac:dyDescent="0.25">
      <c r="A25" s="2" t="s">
        <v>76</v>
      </c>
      <c r="B25" s="4"/>
      <c r="C25" s="4"/>
      <c r="D25" s="4"/>
      <c r="E25" s="8">
        <v>0.54900000000000004</v>
      </c>
      <c r="F25" s="7">
        <v>0.27</v>
      </c>
      <c r="G25" s="8">
        <v>0.61799999999999999</v>
      </c>
      <c r="H25" s="4"/>
      <c r="I25" s="4"/>
      <c r="J25" s="4"/>
      <c r="K25" s="4"/>
      <c r="L25" s="4"/>
      <c r="M25" s="4"/>
      <c r="P25">
        <v>0.5</v>
      </c>
      <c r="Q25">
        <f>AVERAGE(B40:C40)</f>
        <v>1.3145</v>
      </c>
      <c r="R25">
        <f t="shared" si="8"/>
        <v>0.9345</v>
      </c>
      <c r="U25" t="s">
        <v>191</v>
      </c>
      <c r="V25" s="8">
        <v>0.55100000000000005</v>
      </c>
      <c r="W25">
        <f t="shared" si="6"/>
        <v>0.19600000000000006</v>
      </c>
      <c r="X25">
        <f t="shared" si="7"/>
        <v>5.9884416102032705E-2</v>
      </c>
      <c r="Y25">
        <f t="shared" si="3"/>
        <v>0.41919091271422892</v>
      </c>
    </row>
    <row r="26" spans="1:25" x14ac:dyDescent="0.25">
      <c r="A26" s="2" t="s">
        <v>121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O26">
        <v>5</v>
      </c>
      <c r="T26">
        <v>3</v>
      </c>
      <c r="U26" t="s">
        <v>0</v>
      </c>
      <c r="V26" t="s">
        <v>221</v>
      </c>
      <c r="W26" t="s">
        <v>222</v>
      </c>
      <c r="X26" t="s">
        <v>223</v>
      </c>
      <c r="Y26" t="s">
        <v>224</v>
      </c>
    </row>
    <row r="27" spans="1:25" x14ac:dyDescent="0.25">
      <c r="A27" s="2" t="s">
        <v>122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P27">
        <v>0</v>
      </c>
      <c r="Q27">
        <f>AVERAGE(B43:C43)</f>
        <v>0.38</v>
      </c>
      <c r="R27">
        <f>Q27-Q$27</f>
        <v>0</v>
      </c>
      <c r="U27" t="s">
        <v>181</v>
      </c>
      <c r="V27" s="8">
        <v>0.56399999999999995</v>
      </c>
      <c r="W27">
        <f>V27-Q$15</f>
        <v>0.1999999999999999</v>
      </c>
      <c r="X27">
        <f>(W27-0.0846)/1.9764</f>
        <v>5.8388990082979111E-2</v>
      </c>
      <c r="Y27">
        <f t="shared" si="3"/>
        <v>0.40872293058085379</v>
      </c>
    </row>
    <row r="28" spans="1:25" x14ac:dyDescent="0.25">
      <c r="A28" s="2" t="s">
        <v>123</v>
      </c>
      <c r="B28" s="4"/>
      <c r="C28" s="4"/>
      <c r="D28" s="4"/>
      <c r="E28" s="4"/>
      <c r="F28" s="4"/>
      <c r="G28" s="4"/>
      <c r="H28" s="4"/>
      <c r="I28" s="3">
        <v>4.4999999999999998E-2</v>
      </c>
      <c r="J28" s="8">
        <v>0.56000000000000005</v>
      </c>
      <c r="K28" s="13">
        <v>0.71899999999999997</v>
      </c>
      <c r="L28" s="16">
        <v>0.97699999999999998</v>
      </c>
      <c r="M28" s="11">
        <v>1.401</v>
      </c>
      <c r="P28">
        <v>0.05</v>
      </c>
      <c r="Q28">
        <f>AVERAGE(B44:C44)</f>
        <v>0.56150000000000011</v>
      </c>
      <c r="R28">
        <f t="shared" ref="R28:R31" si="9">Q28-Q$27</f>
        <v>0.18150000000000011</v>
      </c>
      <c r="U28" t="s">
        <v>182</v>
      </c>
      <c r="V28" s="8">
        <v>0.56100000000000005</v>
      </c>
      <c r="W28">
        <f t="shared" ref="W28:W37" si="10">V28-Q$15</f>
        <v>0.19700000000000001</v>
      </c>
      <c r="X28">
        <f t="shared" ref="X28:X37" si="11">(W28-0.0846)/1.9764</f>
        <v>5.6871078729002232E-2</v>
      </c>
      <c r="Y28">
        <f t="shared" si="3"/>
        <v>0.39809755110301565</v>
      </c>
    </row>
    <row r="29" spans="1:25" x14ac:dyDescent="0.25">
      <c r="A29" s="2" t="s">
        <v>124</v>
      </c>
      <c r="B29" s="4"/>
      <c r="C29" s="4"/>
      <c r="D29" s="4"/>
      <c r="E29" s="4"/>
      <c r="F29" s="4"/>
      <c r="G29" s="4"/>
      <c r="H29" s="4"/>
      <c r="I29" s="3">
        <v>4.3999999999999997E-2</v>
      </c>
      <c r="J29" s="8">
        <v>0.55100000000000005</v>
      </c>
      <c r="K29" s="15">
        <v>0.72599999999999998</v>
      </c>
      <c r="L29" s="17">
        <v>1.0389999999999999</v>
      </c>
      <c r="M29" s="11">
        <v>1.4019999999999999</v>
      </c>
      <c r="P29">
        <v>0.1</v>
      </c>
      <c r="Q29">
        <f>AVERAGE(B46:C46)</f>
        <v>0.66149999999999998</v>
      </c>
      <c r="R29">
        <f t="shared" si="9"/>
        <v>0.28149999999999997</v>
      </c>
      <c r="U29" t="s">
        <v>183</v>
      </c>
      <c r="V29" s="10">
        <v>0.874</v>
      </c>
      <c r="W29">
        <f t="shared" si="10"/>
        <v>0.51</v>
      </c>
      <c r="X29">
        <f t="shared" si="11"/>
        <v>0.21523982999392835</v>
      </c>
      <c r="Y29">
        <f t="shared" si="3"/>
        <v>1.5066788099574984</v>
      </c>
    </row>
    <row r="30" spans="1:25" x14ac:dyDescent="0.25">
      <c r="A30" s="2" t="s">
        <v>125</v>
      </c>
      <c r="B30" s="4"/>
      <c r="C30" s="4"/>
      <c r="D30" s="4"/>
      <c r="E30" s="4"/>
      <c r="F30" s="4"/>
      <c r="G30" s="4"/>
      <c r="H30" s="4"/>
      <c r="I30" s="3">
        <v>4.4999999999999998E-2</v>
      </c>
      <c r="J30" s="8">
        <v>0.55900000000000005</v>
      </c>
      <c r="K30" s="13">
        <v>0.70599999999999996</v>
      </c>
      <c r="L30" s="16">
        <v>0.93100000000000005</v>
      </c>
      <c r="M30" s="11">
        <v>1.403</v>
      </c>
      <c r="P30">
        <v>0.25</v>
      </c>
      <c r="Q30">
        <f>AVERAGE(B48:C48)</f>
        <v>0.82499999999999996</v>
      </c>
      <c r="R30">
        <f t="shared" si="9"/>
        <v>0.44499999999999995</v>
      </c>
      <c r="U30" t="s">
        <v>184</v>
      </c>
      <c r="V30" s="8">
        <v>0.58399999999999996</v>
      </c>
      <c r="W30">
        <f t="shared" si="10"/>
        <v>0.21999999999999992</v>
      </c>
      <c r="X30">
        <f t="shared" si="11"/>
        <v>6.8508399109491969E-2</v>
      </c>
      <c r="Y30">
        <f t="shared" si="3"/>
        <v>0.47955879376644378</v>
      </c>
    </row>
    <row r="31" spans="1:25" x14ac:dyDescent="0.25">
      <c r="A31">
        <v>4</v>
      </c>
      <c r="B31" t="s">
        <v>226</v>
      </c>
      <c r="P31">
        <v>0.5</v>
      </c>
      <c r="Q31">
        <f>AVERAGE(B50:C50)</f>
        <v>1.2614999999999998</v>
      </c>
      <c r="R31">
        <f t="shared" si="9"/>
        <v>0.88149999999999984</v>
      </c>
      <c r="U31" t="s">
        <v>185</v>
      </c>
      <c r="V31" s="15">
        <v>0.73</v>
      </c>
      <c r="W31">
        <f t="shared" si="10"/>
        <v>0.36599999999999994</v>
      </c>
      <c r="X31">
        <f t="shared" si="11"/>
        <v>0.14238008500303578</v>
      </c>
      <c r="Y31">
        <f t="shared" si="3"/>
        <v>0.99666059502125048</v>
      </c>
    </row>
    <row r="32" spans="1:25" x14ac:dyDescent="0.25">
      <c r="A32" s="1"/>
      <c r="B32" s="2">
        <v>1</v>
      </c>
      <c r="C32" s="2">
        <v>2</v>
      </c>
      <c r="D32" s="2">
        <v>3</v>
      </c>
      <c r="E32" s="2">
        <v>4</v>
      </c>
      <c r="F32" s="2">
        <v>5</v>
      </c>
      <c r="G32" s="2">
        <v>6</v>
      </c>
      <c r="H32" s="2">
        <v>7</v>
      </c>
      <c r="I32" s="2">
        <v>8</v>
      </c>
      <c r="J32" s="2">
        <v>9</v>
      </c>
      <c r="K32" s="2">
        <v>10</v>
      </c>
      <c r="L32" s="2">
        <v>11</v>
      </c>
      <c r="M32" s="2">
        <v>12</v>
      </c>
      <c r="O32">
        <v>6</v>
      </c>
      <c r="U32" t="s">
        <v>186</v>
      </c>
      <c r="V32" s="8">
        <v>0.56999999999999995</v>
      </c>
      <c r="W32">
        <f t="shared" si="10"/>
        <v>0.20599999999999991</v>
      </c>
      <c r="X32">
        <f t="shared" si="11"/>
        <v>6.1424812790932967E-2</v>
      </c>
      <c r="Y32">
        <f t="shared" si="3"/>
        <v>0.42997368953653076</v>
      </c>
    </row>
    <row r="33" spans="1:25" x14ac:dyDescent="0.25">
      <c r="A33" s="2" t="s">
        <v>118</v>
      </c>
      <c r="B33" s="6">
        <v>0.377</v>
      </c>
      <c r="C33" s="6">
        <v>0.38300000000000001</v>
      </c>
      <c r="D33" s="4"/>
      <c r="E33" s="45">
        <v>0.57399999999999995</v>
      </c>
      <c r="F33" s="45">
        <v>0.54400000000000004</v>
      </c>
      <c r="G33" s="46">
        <v>0.75900000000000001</v>
      </c>
      <c r="H33" s="47">
        <v>0.47699999999999998</v>
      </c>
      <c r="I33" s="48">
        <v>0.65400000000000003</v>
      </c>
      <c r="J33" s="45">
        <v>0.55400000000000005</v>
      </c>
      <c r="K33" s="45">
        <v>0.57099999999999995</v>
      </c>
      <c r="L33" s="45">
        <v>0.54600000000000004</v>
      </c>
      <c r="M33" s="45">
        <v>0.54300000000000004</v>
      </c>
      <c r="P33">
        <v>0</v>
      </c>
      <c r="Q33">
        <f>AVERAGE(B53:C53)</f>
        <v>0.40800000000000003</v>
      </c>
      <c r="R33">
        <f>Q33-Q$33</f>
        <v>0</v>
      </c>
      <c r="U33" t="s">
        <v>187</v>
      </c>
      <c r="V33" s="8">
        <v>0.54600000000000004</v>
      </c>
      <c r="W33">
        <f t="shared" si="10"/>
        <v>0.182</v>
      </c>
      <c r="X33">
        <f t="shared" si="11"/>
        <v>4.9281521959117593E-2</v>
      </c>
      <c r="Y33">
        <f t="shared" si="3"/>
        <v>0.34497065371382313</v>
      </c>
    </row>
    <row r="34" spans="1:25" x14ac:dyDescent="0.25">
      <c r="A34" s="2" t="s">
        <v>120</v>
      </c>
      <c r="B34" s="8">
        <v>0.54100000000000004</v>
      </c>
      <c r="C34" s="8">
        <v>0.53700000000000003</v>
      </c>
      <c r="D34" s="49"/>
      <c r="E34" s="50">
        <v>0.58699999999999997</v>
      </c>
      <c r="F34" s="51"/>
      <c r="G34" s="51"/>
      <c r="H34" s="51"/>
      <c r="I34" s="51"/>
      <c r="J34" s="51"/>
      <c r="K34" s="51"/>
      <c r="L34" s="51"/>
      <c r="M34" s="51"/>
      <c r="P34">
        <v>0.05</v>
      </c>
      <c r="Q34">
        <f>AVERAGE(B54:C54)</f>
        <v>0.58299999999999996</v>
      </c>
      <c r="R34">
        <f t="shared" ref="R34:R37" si="12">Q34-Q$33</f>
        <v>0.17499999999999993</v>
      </c>
      <c r="U34" t="s">
        <v>188</v>
      </c>
      <c r="V34" s="5">
        <v>0.52900000000000003</v>
      </c>
      <c r="W34">
        <f t="shared" si="10"/>
        <v>0.16499999999999998</v>
      </c>
      <c r="X34">
        <f t="shared" si="11"/>
        <v>4.0680024286581656E-2</v>
      </c>
      <c r="Y34">
        <f t="shared" si="3"/>
        <v>0.28476017000607157</v>
      </c>
    </row>
    <row r="35" spans="1:25" x14ac:dyDescent="0.25">
      <c r="A35" s="2" t="s">
        <v>76</v>
      </c>
      <c r="B35" s="3">
        <v>4.3999999999999997E-2</v>
      </c>
      <c r="C35" s="3">
        <v>4.3999999999999997E-2</v>
      </c>
      <c r="D35" s="49"/>
      <c r="E35" s="51"/>
      <c r="F35" s="51"/>
      <c r="G35" s="51"/>
      <c r="H35" s="51"/>
      <c r="I35" s="51"/>
      <c r="J35" s="51"/>
      <c r="K35" s="51"/>
      <c r="L35" s="51"/>
      <c r="M35" s="51"/>
      <c r="P35">
        <v>0.1</v>
      </c>
      <c r="Q35">
        <f>AVERAGE(B56:C56)</f>
        <v>0.66400000000000003</v>
      </c>
      <c r="R35">
        <f t="shared" si="12"/>
        <v>0.25600000000000001</v>
      </c>
      <c r="U35" t="s">
        <v>189</v>
      </c>
      <c r="V35" s="8">
        <v>0.57499999999999996</v>
      </c>
      <c r="W35">
        <f t="shared" si="10"/>
        <v>0.21099999999999991</v>
      </c>
      <c r="X35">
        <f t="shared" si="11"/>
        <v>6.3954665047561171E-2</v>
      </c>
      <c r="Y35">
        <f t="shared" si="3"/>
        <v>0.44768265533292817</v>
      </c>
    </row>
    <row r="36" spans="1:25" x14ac:dyDescent="0.25">
      <c r="A36" s="2" t="s">
        <v>121</v>
      </c>
      <c r="B36" s="13">
        <v>0.64900000000000002</v>
      </c>
      <c r="C36" s="13">
        <v>0.63200000000000001</v>
      </c>
      <c r="D36" s="49"/>
      <c r="E36" s="52"/>
      <c r="F36" s="51"/>
      <c r="G36" s="51"/>
      <c r="H36" s="51"/>
      <c r="I36" s="51"/>
      <c r="J36" s="51"/>
      <c r="K36" s="51"/>
      <c r="L36" s="51"/>
      <c r="M36" s="51"/>
      <c r="P36">
        <v>0.25</v>
      </c>
      <c r="Q36">
        <f>AVERAGE(B58:C58)</f>
        <v>0.76350000000000007</v>
      </c>
      <c r="R36">
        <f t="shared" si="12"/>
        <v>0.35550000000000004</v>
      </c>
      <c r="U36" t="s">
        <v>190</v>
      </c>
      <c r="V36" s="8">
        <v>0.54900000000000004</v>
      </c>
      <c r="W36">
        <f t="shared" si="10"/>
        <v>0.185</v>
      </c>
      <c r="X36">
        <f t="shared" si="11"/>
        <v>5.0799433313094521E-2</v>
      </c>
      <c r="Y36">
        <f t="shared" si="3"/>
        <v>0.35559603319166166</v>
      </c>
    </row>
    <row r="37" spans="1:25" x14ac:dyDescent="0.25">
      <c r="A37" s="2" t="s">
        <v>122</v>
      </c>
      <c r="B37" s="3">
        <v>4.4999999999999998E-2</v>
      </c>
      <c r="C37" s="3">
        <v>4.3999999999999997E-2</v>
      </c>
      <c r="D37" s="49"/>
      <c r="E37" s="52"/>
      <c r="F37" s="51"/>
      <c r="G37" s="51"/>
      <c r="H37" s="51"/>
      <c r="I37" s="51"/>
      <c r="J37" s="51"/>
      <c r="K37" s="51"/>
      <c r="L37" s="51"/>
      <c r="M37" s="51"/>
      <c r="P37">
        <v>0.5</v>
      </c>
      <c r="Q37">
        <f>AVERAGE(B60:C60)</f>
        <v>1.3410000000000002</v>
      </c>
      <c r="R37">
        <f t="shared" si="12"/>
        <v>0.93300000000000016</v>
      </c>
      <c r="U37" t="s">
        <v>191</v>
      </c>
      <c r="V37" s="8">
        <v>0.61799999999999999</v>
      </c>
      <c r="W37">
        <f t="shared" si="10"/>
        <v>0.25399999999999995</v>
      </c>
      <c r="X37">
        <f t="shared" si="11"/>
        <v>8.5711394454563827E-2</v>
      </c>
      <c r="Y37">
        <f t="shared" si="3"/>
        <v>0.59997976118194685</v>
      </c>
    </row>
    <row r="38" spans="1:25" x14ac:dyDescent="0.25">
      <c r="A38" s="2" t="s">
        <v>123</v>
      </c>
      <c r="B38" s="10">
        <v>0.86299999999999999</v>
      </c>
      <c r="C38" s="16">
        <v>0.87</v>
      </c>
      <c r="D38" s="49"/>
      <c r="E38" s="52"/>
      <c r="F38" s="51"/>
      <c r="G38" s="51"/>
      <c r="H38" s="51"/>
      <c r="I38" s="51"/>
      <c r="J38" s="51"/>
      <c r="K38" s="51"/>
      <c r="L38" s="51"/>
      <c r="M38" s="51"/>
      <c r="T38">
        <v>3</v>
      </c>
      <c r="U38" t="s">
        <v>0</v>
      </c>
      <c r="V38" t="s">
        <v>221</v>
      </c>
      <c r="W38" t="s">
        <v>222</v>
      </c>
      <c r="X38" t="s">
        <v>223</v>
      </c>
      <c r="Y38" t="s">
        <v>224</v>
      </c>
    </row>
    <row r="39" spans="1:25" x14ac:dyDescent="0.25">
      <c r="A39" s="2" t="s">
        <v>124</v>
      </c>
      <c r="B39" s="3">
        <v>4.4999999999999998E-2</v>
      </c>
      <c r="C39" s="3">
        <v>4.3999999999999997E-2</v>
      </c>
      <c r="D39" s="4"/>
      <c r="E39" s="53"/>
      <c r="F39" s="53"/>
      <c r="G39" s="53"/>
      <c r="H39" s="53"/>
      <c r="I39" s="53"/>
      <c r="J39" s="53"/>
      <c r="K39" s="53"/>
      <c r="L39" s="53"/>
      <c r="M39" s="53"/>
      <c r="U39" t="s">
        <v>181</v>
      </c>
      <c r="V39" s="45">
        <v>0.57399999999999995</v>
      </c>
      <c r="W39">
        <f>V39-Q$21</f>
        <v>0.19399999999999995</v>
      </c>
      <c r="X39">
        <f>(W39-0.0461)/1.7889</f>
        <v>8.2676505114875037E-2</v>
      </c>
      <c r="Y39">
        <f t="shared" si="3"/>
        <v>0.57873553580412529</v>
      </c>
    </row>
    <row r="40" spans="1:25" x14ac:dyDescent="0.25">
      <c r="A40" s="2" t="s">
        <v>125</v>
      </c>
      <c r="B40" s="11">
        <v>1.3009999999999999</v>
      </c>
      <c r="C40" s="11">
        <v>1.3280000000000001</v>
      </c>
      <c r="D40" s="4"/>
      <c r="E40" s="4"/>
      <c r="F40" s="4"/>
      <c r="G40" s="4"/>
      <c r="H40" s="4"/>
      <c r="I40" s="4"/>
      <c r="J40" s="4"/>
      <c r="K40" s="4"/>
      <c r="L40" s="4"/>
      <c r="M40" s="4"/>
      <c r="U40" t="s">
        <v>182</v>
      </c>
      <c r="V40" s="45">
        <v>0.54400000000000004</v>
      </c>
      <c r="W40">
        <f t="shared" ref="W40:W48" si="13">V40-Q$21</f>
        <v>0.16400000000000003</v>
      </c>
      <c r="X40">
        <f t="shared" ref="X40:X48" si="14">(W40-0.0461)/1.7889</f>
        <v>6.5906422941472434E-2</v>
      </c>
      <c r="Y40">
        <f t="shared" si="3"/>
        <v>0.46134496059030705</v>
      </c>
    </row>
    <row r="41" spans="1:25" x14ac:dyDescent="0.25">
      <c r="A41">
        <v>5</v>
      </c>
      <c r="B41" t="s">
        <v>227</v>
      </c>
      <c r="U41" t="s">
        <v>183</v>
      </c>
      <c r="V41" s="46">
        <v>0.75900000000000001</v>
      </c>
      <c r="W41">
        <f t="shared" si="13"/>
        <v>0.379</v>
      </c>
      <c r="X41">
        <f t="shared" si="14"/>
        <v>0.18609201185085805</v>
      </c>
      <c r="Y41">
        <f t="shared" si="3"/>
        <v>1.3026440829560064</v>
      </c>
    </row>
    <row r="42" spans="1:25" x14ac:dyDescent="0.25">
      <c r="A42" s="12"/>
      <c r="B42" s="2">
        <v>1</v>
      </c>
      <c r="C42" s="2">
        <v>2</v>
      </c>
      <c r="D42" s="2">
        <v>3</v>
      </c>
      <c r="E42" s="2">
        <v>4</v>
      </c>
      <c r="F42" s="2">
        <v>5</v>
      </c>
      <c r="G42" s="2">
        <v>6</v>
      </c>
      <c r="H42" s="2">
        <v>7</v>
      </c>
      <c r="I42" s="2">
        <v>8</v>
      </c>
      <c r="J42" s="2">
        <v>9</v>
      </c>
      <c r="K42" s="2">
        <v>10</v>
      </c>
      <c r="L42" s="2">
        <v>11</v>
      </c>
      <c r="M42" s="2">
        <v>12</v>
      </c>
      <c r="U42" t="s">
        <v>184</v>
      </c>
      <c r="V42" s="47">
        <v>0.47699999999999998</v>
      </c>
      <c r="W42">
        <f t="shared" si="13"/>
        <v>9.6999999999999975E-2</v>
      </c>
      <c r="X42">
        <f t="shared" si="14"/>
        <v>2.8453239420873147E-2</v>
      </c>
      <c r="Y42">
        <f t="shared" si="3"/>
        <v>0.19917267594611204</v>
      </c>
    </row>
    <row r="43" spans="1:25" x14ac:dyDescent="0.25">
      <c r="A43" s="2" t="s">
        <v>118</v>
      </c>
      <c r="B43" s="6">
        <v>0.38600000000000001</v>
      </c>
      <c r="C43" s="6">
        <v>0.374</v>
      </c>
      <c r="D43" s="4"/>
      <c r="E43" s="45">
        <v>0.54400000000000004</v>
      </c>
      <c r="F43" s="45">
        <v>0.51600000000000001</v>
      </c>
      <c r="G43" s="54">
        <v>0.76500000000000001</v>
      </c>
      <c r="H43" s="48">
        <v>0.57899999999999996</v>
      </c>
      <c r="I43" s="46">
        <v>0.68600000000000005</v>
      </c>
      <c r="J43" s="48">
        <v>0.57299999999999995</v>
      </c>
      <c r="K43" s="45">
        <v>0.56399999999999995</v>
      </c>
      <c r="L43" s="45">
        <v>0.52800000000000002</v>
      </c>
      <c r="M43" s="45">
        <v>0.505</v>
      </c>
      <c r="U43" t="s">
        <v>185</v>
      </c>
      <c r="V43" s="48">
        <v>0.65400000000000003</v>
      </c>
      <c r="W43">
        <f t="shared" si="13"/>
        <v>0.27400000000000002</v>
      </c>
      <c r="X43">
        <f t="shared" si="14"/>
        <v>0.12739672424394882</v>
      </c>
      <c r="Y43">
        <f t="shared" si="3"/>
        <v>0.8917770697076417</v>
      </c>
    </row>
    <row r="44" spans="1:25" x14ac:dyDescent="0.25">
      <c r="A44" s="2" t="s">
        <v>120</v>
      </c>
      <c r="B44" s="8">
        <v>0.56200000000000006</v>
      </c>
      <c r="C44" s="8">
        <v>0.56100000000000005</v>
      </c>
      <c r="D44" s="49"/>
      <c r="E44" s="50">
        <v>0.56399999999999995</v>
      </c>
      <c r="F44" s="51"/>
      <c r="G44" s="51"/>
      <c r="H44" s="51"/>
      <c r="I44" s="51"/>
      <c r="J44" s="51"/>
      <c r="K44" s="51"/>
      <c r="L44" s="51"/>
      <c r="M44" s="51"/>
      <c r="U44" t="s">
        <v>186</v>
      </c>
      <c r="V44" s="45">
        <v>0.55400000000000005</v>
      </c>
      <c r="W44">
        <f t="shared" si="13"/>
        <v>0.17400000000000004</v>
      </c>
      <c r="X44">
        <f t="shared" si="14"/>
        <v>7.1496450332606654E-2</v>
      </c>
      <c r="Y44">
        <f t="shared" si="3"/>
        <v>0.50047515232824658</v>
      </c>
    </row>
    <row r="45" spans="1:25" x14ac:dyDescent="0.25">
      <c r="A45" s="2" t="s">
        <v>76</v>
      </c>
      <c r="B45" s="3">
        <v>4.3999999999999997E-2</v>
      </c>
      <c r="C45" s="3">
        <v>4.4999999999999998E-2</v>
      </c>
      <c r="D45" s="49"/>
      <c r="E45" s="51"/>
      <c r="F45" s="51"/>
      <c r="G45" s="51"/>
      <c r="H45" s="51"/>
      <c r="I45" s="51"/>
      <c r="J45" s="51"/>
      <c r="K45" s="51"/>
      <c r="L45" s="51"/>
      <c r="M45" s="51"/>
      <c r="U45" t="s">
        <v>187</v>
      </c>
      <c r="V45" s="45">
        <v>0.57099999999999995</v>
      </c>
      <c r="W45">
        <f t="shared" si="13"/>
        <v>0.19099999999999995</v>
      </c>
      <c r="X45">
        <f t="shared" si="14"/>
        <v>8.0999496897534773E-2</v>
      </c>
      <c r="Y45">
        <f t="shared" si="3"/>
        <v>0.56699647828274347</v>
      </c>
    </row>
    <row r="46" spans="1:25" x14ac:dyDescent="0.25">
      <c r="A46" s="2" t="s">
        <v>121</v>
      </c>
      <c r="B46" s="15">
        <v>0.66900000000000004</v>
      </c>
      <c r="C46" s="13">
        <v>0.65400000000000003</v>
      </c>
      <c r="D46" s="49"/>
      <c r="E46" s="52"/>
      <c r="F46" s="51"/>
      <c r="G46" s="51"/>
      <c r="H46" s="51"/>
      <c r="I46" s="51"/>
      <c r="J46" s="51"/>
      <c r="K46" s="51"/>
      <c r="L46" s="51"/>
      <c r="M46" s="51"/>
      <c r="U46" t="s">
        <v>188</v>
      </c>
      <c r="V46" s="45">
        <v>0.54600000000000004</v>
      </c>
      <c r="W46">
        <f t="shared" si="13"/>
        <v>0.16600000000000004</v>
      </c>
      <c r="X46">
        <f t="shared" si="14"/>
        <v>6.7024428419699272E-2</v>
      </c>
      <c r="Y46">
        <f t="shared" si="3"/>
        <v>0.46917099893789493</v>
      </c>
    </row>
    <row r="47" spans="1:25" x14ac:dyDescent="0.25">
      <c r="A47" s="2" t="s">
        <v>122</v>
      </c>
      <c r="B47" s="3">
        <v>4.4999999999999998E-2</v>
      </c>
      <c r="C47" s="3">
        <v>4.3999999999999997E-2</v>
      </c>
      <c r="D47" s="4"/>
      <c r="E47" s="53"/>
      <c r="F47" s="53"/>
      <c r="G47" s="53"/>
      <c r="H47" s="53"/>
      <c r="I47" s="53"/>
      <c r="J47" s="53"/>
      <c r="K47" s="53"/>
      <c r="L47" s="53"/>
      <c r="M47" s="53"/>
      <c r="U47" t="s">
        <v>190</v>
      </c>
      <c r="V47" s="45">
        <v>0.54300000000000004</v>
      </c>
      <c r="W47">
        <f t="shared" si="13"/>
        <v>0.16300000000000003</v>
      </c>
      <c r="X47">
        <f t="shared" si="14"/>
        <v>6.5347420202359008E-2</v>
      </c>
      <c r="Y47">
        <f t="shared" si="3"/>
        <v>0.45743194141651305</v>
      </c>
    </row>
    <row r="48" spans="1:25" x14ac:dyDescent="0.25">
      <c r="A48" s="2" t="s">
        <v>123</v>
      </c>
      <c r="B48" s="10">
        <v>0.81699999999999995</v>
      </c>
      <c r="C48" s="16">
        <v>0.83299999999999996</v>
      </c>
      <c r="D48" s="4"/>
      <c r="E48" s="4"/>
      <c r="F48" s="4"/>
      <c r="G48" s="4"/>
      <c r="H48" s="4"/>
      <c r="I48" s="4"/>
      <c r="J48" s="4"/>
      <c r="K48" s="4"/>
      <c r="L48" s="4"/>
      <c r="M48" s="4"/>
      <c r="U48" t="s">
        <v>191</v>
      </c>
      <c r="V48" s="50">
        <v>0.58699999999999997</v>
      </c>
      <c r="W48">
        <f t="shared" si="13"/>
        <v>0.20699999999999996</v>
      </c>
      <c r="X48">
        <f t="shared" si="14"/>
        <v>8.9943540723349522E-2</v>
      </c>
      <c r="Y48">
        <f t="shared" si="3"/>
        <v>0.62960478506344664</v>
      </c>
    </row>
    <row r="49" spans="1:25" x14ac:dyDescent="0.25">
      <c r="A49" s="2" t="s">
        <v>124</v>
      </c>
      <c r="B49" s="3">
        <v>4.3999999999999997E-2</v>
      </c>
      <c r="C49" s="3">
        <v>4.3999999999999997E-2</v>
      </c>
      <c r="D49" s="4"/>
      <c r="E49" s="4"/>
      <c r="F49" s="4"/>
      <c r="G49" s="4"/>
      <c r="H49" s="4"/>
      <c r="I49" s="4"/>
      <c r="J49" s="4"/>
      <c r="K49" s="4"/>
      <c r="L49" s="4"/>
      <c r="M49" s="4"/>
      <c r="T49">
        <v>3</v>
      </c>
      <c r="U49" t="s">
        <v>0</v>
      </c>
      <c r="V49" t="s">
        <v>221</v>
      </c>
      <c r="W49" t="s">
        <v>222</v>
      </c>
      <c r="X49" t="s">
        <v>223</v>
      </c>
      <c r="Y49" t="s">
        <v>224</v>
      </c>
    </row>
    <row r="50" spans="1:25" x14ac:dyDescent="0.25">
      <c r="A50" s="2" t="s">
        <v>125</v>
      </c>
      <c r="B50" s="11">
        <v>1.258</v>
      </c>
      <c r="C50" s="11">
        <v>1.2649999999999999</v>
      </c>
      <c r="D50" s="4"/>
      <c r="E50" s="4"/>
      <c r="F50" s="4"/>
      <c r="G50" s="4"/>
      <c r="H50" s="4"/>
      <c r="I50" s="4"/>
      <c r="J50" s="4"/>
      <c r="K50" s="4"/>
      <c r="L50" s="4"/>
      <c r="M50" s="4"/>
      <c r="U50" t="s">
        <v>181</v>
      </c>
      <c r="V50" s="45">
        <v>0.54400000000000004</v>
      </c>
      <c r="W50">
        <f>V50-Q$27</f>
        <v>0.16400000000000003</v>
      </c>
      <c r="X50">
        <f>(W50-0.0629)/1.6387</f>
        <v>6.1695246231769106E-2</v>
      </c>
      <c r="Y50">
        <f t="shared" si="3"/>
        <v>0.43186672362238376</v>
      </c>
    </row>
    <row r="51" spans="1:25" x14ac:dyDescent="0.25">
      <c r="A51">
        <v>6</v>
      </c>
      <c r="B51" t="s">
        <v>226</v>
      </c>
      <c r="U51" t="s">
        <v>182</v>
      </c>
      <c r="V51" s="45">
        <v>0.51600000000000001</v>
      </c>
      <c r="W51">
        <f t="shared" ref="W51:W59" si="15">V51-Q$27</f>
        <v>0.13600000000000001</v>
      </c>
      <c r="X51">
        <f t="shared" ref="X51:X59" si="16">(W51-0.0629)/1.6387</f>
        <v>4.4608531152743033E-2</v>
      </c>
      <c r="Y51">
        <f t="shared" si="3"/>
        <v>0.31225971806920122</v>
      </c>
    </row>
    <row r="52" spans="1:25" x14ac:dyDescent="0.25">
      <c r="A52" s="12"/>
      <c r="B52" s="2">
        <v>1</v>
      </c>
      <c r="C52" s="2">
        <v>2</v>
      </c>
      <c r="D52" s="2">
        <v>3</v>
      </c>
      <c r="E52" s="2">
        <v>4</v>
      </c>
      <c r="F52" s="2">
        <v>5</v>
      </c>
      <c r="G52" s="2">
        <v>6</v>
      </c>
      <c r="H52" s="2">
        <v>7</v>
      </c>
      <c r="I52" s="2">
        <v>8</v>
      </c>
      <c r="J52" s="2">
        <v>9</v>
      </c>
      <c r="K52" s="2">
        <v>10</v>
      </c>
      <c r="L52" s="2">
        <v>11</v>
      </c>
      <c r="M52" s="2">
        <v>12</v>
      </c>
      <c r="U52" t="s">
        <v>183</v>
      </c>
      <c r="V52" s="54">
        <v>0.76500000000000001</v>
      </c>
      <c r="W52">
        <f t="shared" si="15"/>
        <v>0.38500000000000001</v>
      </c>
      <c r="X52">
        <f t="shared" si="16"/>
        <v>0.19655824739122474</v>
      </c>
      <c r="Y52">
        <f t="shared" si="3"/>
        <v>1.3759077317385731</v>
      </c>
    </row>
    <row r="53" spans="1:25" x14ac:dyDescent="0.25">
      <c r="A53" s="2" t="s">
        <v>118</v>
      </c>
      <c r="B53" s="6">
        <v>0.41099999999999998</v>
      </c>
      <c r="C53" s="6">
        <v>0.40500000000000003</v>
      </c>
      <c r="D53" s="4"/>
      <c r="E53" s="45">
        <v>0.58099999999999996</v>
      </c>
      <c r="F53" s="45">
        <v>0.57399999999999995</v>
      </c>
      <c r="G53" s="48">
        <v>0.68500000000000005</v>
      </c>
      <c r="H53" s="48">
        <v>0.622</v>
      </c>
      <c r="I53" s="46">
        <v>0.71399999999999997</v>
      </c>
      <c r="J53" s="45">
        <v>0.57399999999999995</v>
      </c>
      <c r="K53" s="48">
        <v>0.61399999999999999</v>
      </c>
      <c r="L53" s="45">
        <v>0.60099999999999998</v>
      </c>
      <c r="M53" s="45">
        <v>0.57399999999999995</v>
      </c>
      <c r="U53" t="s">
        <v>184</v>
      </c>
      <c r="V53" s="48">
        <v>0.57899999999999996</v>
      </c>
      <c r="W53">
        <f t="shared" si="15"/>
        <v>0.19899999999999995</v>
      </c>
      <c r="X53">
        <f t="shared" si="16"/>
        <v>8.3053640080551619E-2</v>
      </c>
      <c r="Y53">
        <f t="shared" si="3"/>
        <v>0.58137548056386135</v>
      </c>
    </row>
    <row r="54" spans="1:25" x14ac:dyDescent="0.25">
      <c r="A54" s="2" t="s">
        <v>120</v>
      </c>
      <c r="B54" s="8">
        <v>0.58799999999999997</v>
      </c>
      <c r="C54" s="8">
        <v>0.57799999999999996</v>
      </c>
      <c r="D54" s="49"/>
      <c r="E54" s="55">
        <v>0.63100000000000001</v>
      </c>
      <c r="F54" s="51"/>
      <c r="G54" s="51"/>
      <c r="H54" s="51"/>
      <c r="I54" s="51"/>
      <c r="J54" s="51"/>
      <c r="K54" s="51"/>
      <c r="L54" s="51"/>
      <c r="M54" s="51"/>
      <c r="U54" t="s">
        <v>185</v>
      </c>
      <c r="V54" s="46">
        <v>0.68600000000000005</v>
      </c>
      <c r="W54">
        <f t="shared" si="15"/>
        <v>0.30600000000000005</v>
      </c>
      <c r="X54">
        <f t="shared" si="16"/>
        <v>0.14834930127540125</v>
      </c>
      <c r="Y54">
        <f t="shared" si="3"/>
        <v>1.0384451089278088</v>
      </c>
    </row>
    <row r="55" spans="1:25" x14ac:dyDescent="0.25">
      <c r="A55" s="2" t="s">
        <v>76</v>
      </c>
      <c r="B55" s="3">
        <v>4.4999999999999998E-2</v>
      </c>
      <c r="C55" s="3">
        <v>4.4999999999999998E-2</v>
      </c>
      <c r="D55" s="49"/>
      <c r="E55" s="51"/>
      <c r="F55" s="51"/>
      <c r="G55" s="51"/>
      <c r="H55" s="51"/>
      <c r="I55" s="51"/>
      <c r="J55" s="51"/>
      <c r="K55" s="51"/>
      <c r="L55" s="51"/>
      <c r="M55" s="51"/>
      <c r="U55" t="s">
        <v>186</v>
      </c>
      <c r="V55" s="48">
        <v>0.57299999999999995</v>
      </c>
      <c r="W55">
        <f t="shared" si="15"/>
        <v>0.19299999999999995</v>
      </c>
      <c r="X55">
        <f t="shared" si="16"/>
        <v>7.9392201135046039E-2</v>
      </c>
      <c r="Y55">
        <f t="shared" si="3"/>
        <v>0.55574540794532223</v>
      </c>
    </row>
    <row r="56" spans="1:25" x14ac:dyDescent="0.25">
      <c r="A56" s="2" t="s">
        <v>121</v>
      </c>
      <c r="B56" s="13">
        <v>0.66</v>
      </c>
      <c r="C56" s="13">
        <v>0.66800000000000004</v>
      </c>
      <c r="D56" s="49"/>
      <c r="E56" s="52"/>
      <c r="F56" s="51"/>
      <c r="G56" s="51"/>
      <c r="H56" s="51"/>
      <c r="I56" s="51"/>
      <c r="J56" s="51"/>
      <c r="K56" s="51"/>
      <c r="L56" s="51"/>
      <c r="M56" s="51"/>
      <c r="U56" t="s">
        <v>187</v>
      </c>
      <c r="V56" s="45">
        <v>0.56399999999999995</v>
      </c>
      <c r="W56">
        <f t="shared" si="15"/>
        <v>0.18399999999999994</v>
      </c>
      <c r="X56">
        <f t="shared" si="16"/>
        <v>7.3900042716787656E-2</v>
      </c>
      <c r="Y56">
        <f t="shared" si="3"/>
        <v>0.51730029901751362</v>
      </c>
    </row>
    <row r="57" spans="1:25" x14ac:dyDescent="0.25">
      <c r="A57" s="2" t="s">
        <v>122</v>
      </c>
      <c r="B57" s="3">
        <v>4.4999999999999998E-2</v>
      </c>
      <c r="C57" s="3">
        <v>4.4999999999999998E-2</v>
      </c>
      <c r="D57" s="49"/>
      <c r="E57" s="52"/>
      <c r="F57" s="51"/>
      <c r="G57" s="51"/>
      <c r="H57" s="51"/>
      <c r="I57" s="51"/>
      <c r="J57" s="51"/>
      <c r="K57" s="51"/>
      <c r="L57" s="51"/>
      <c r="M57" s="51"/>
      <c r="U57" t="s">
        <v>188</v>
      </c>
      <c r="V57" s="45">
        <v>0.52800000000000002</v>
      </c>
      <c r="W57">
        <f t="shared" si="15"/>
        <v>0.14800000000000002</v>
      </c>
      <c r="X57">
        <f t="shared" si="16"/>
        <v>5.1931409043754206E-2</v>
      </c>
      <c r="Y57">
        <f t="shared" si="3"/>
        <v>0.36351986330627944</v>
      </c>
    </row>
    <row r="58" spans="1:25" x14ac:dyDescent="0.25">
      <c r="A58" s="2" t="s">
        <v>123</v>
      </c>
      <c r="B58" s="10">
        <v>0.80100000000000005</v>
      </c>
      <c r="C58" s="15">
        <v>0.72599999999999998</v>
      </c>
      <c r="D58" s="4"/>
      <c r="E58" s="53"/>
      <c r="F58" s="53"/>
      <c r="G58" s="53"/>
      <c r="H58" s="53"/>
      <c r="I58" s="53"/>
      <c r="J58" s="53"/>
      <c r="K58" s="53"/>
      <c r="L58" s="53"/>
      <c r="M58" s="53"/>
      <c r="U58" t="s">
        <v>190</v>
      </c>
      <c r="V58" s="45">
        <v>0.505</v>
      </c>
      <c r="W58">
        <f t="shared" si="15"/>
        <v>0.125</v>
      </c>
      <c r="X58">
        <f t="shared" si="16"/>
        <v>3.789589308598279E-2</v>
      </c>
      <c r="Y58">
        <f t="shared" si="3"/>
        <v>0.26527125160187953</v>
      </c>
    </row>
    <row r="59" spans="1:25" x14ac:dyDescent="0.25">
      <c r="A59" s="2" t="s">
        <v>124</v>
      </c>
      <c r="B59" s="3">
        <v>4.4999999999999998E-2</v>
      </c>
      <c r="C59" s="3">
        <v>4.4999999999999998E-2</v>
      </c>
      <c r="D59" s="4"/>
      <c r="E59" s="4"/>
      <c r="F59" s="4"/>
      <c r="G59" s="4"/>
      <c r="H59" s="4"/>
      <c r="I59" s="4"/>
      <c r="J59" s="4"/>
      <c r="K59" s="4"/>
      <c r="L59" s="4"/>
      <c r="M59" s="4"/>
      <c r="U59" t="s">
        <v>191</v>
      </c>
      <c r="V59" s="50">
        <v>0.56399999999999995</v>
      </c>
      <c r="W59">
        <f t="shared" si="15"/>
        <v>0.18399999999999994</v>
      </c>
      <c r="X59">
        <f t="shared" si="16"/>
        <v>7.3900042716787656E-2</v>
      </c>
      <c r="Y59">
        <f t="shared" si="3"/>
        <v>0.51730029901751362</v>
      </c>
    </row>
    <row r="60" spans="1:25" x14ac:dyDescent="0.25">
      <c r="A60" s="2" t="s">
        <v>125</v>
      </c>
      <c r="B60" s="11">
        <v>1.3440000000000001</v>
      </c>
      <c r="C60" s="11">
        <v>1.3380000000000001</v>
      </c>
      <c r="D60" s="4"/>
      <c r="E60" s="4"/>
      <c r="F60" s="4"/>
      <c r="G60" s="4"/>
      <c r="H60" s="4"/>
      <c r="I60" s="4"/>
      <c r="J60" s="4"/>
      <c r="K60" s="4"/>
      <c r="L60" s="4"/>
      <c r="M60" s="4"/>
      <c r="T60">
        <v>3</v>
      </c>
      <c r="U60" t="s">
        <v>0</v>
      </c>
      <c r="V60" t="s">
        <v>221</v>
      </c>
      <c r="W60" t="s">
        <v>222</v>
      </c>
      <c r="X60" t="s">
        <v>223</v>
      </c>
      <c r="Y60" t="s">
        <v>224</v>
      </c>
    </row>
    <row r="61" spans="1:25" x14ac:dyDescent="0.25">
      <c r="U61" t="s">
        <v>181</v>
      </c>
      <c r="V61" s="45">
        <v>0.58099999999999996</v>
      </c>
      <c r="W61">
        <f>V61-Q$33</f>
        <v>0.17299999999999993</v>
      </c>
      <c r="X61">
        <f>(W61-0.0345)/1.7191</f>
        <v>8.0565412134256248E-2</v>
      </c>
      <c r="Y61">
        <f t="shared" si="3"/>
        <v>0.56395788493979371</v>
      </c>
    </row>
    <row r="62" spans="1:25" x14ac:dyDescent="0.25">
      <c r="U62" t="s">
        <v>182</v>
      </c>
      <c r="V62" s="45">
        <v>0.57399999999999995</v>
      </c>
      <c r="W62">
        <f t="shared" ref="W62:W70" si="17">V62-Q$33</f>
        <v>0.16599999999999993</v>
      </c>
      <c r="X62">
        <f t="shared" ref="X62:X70" si="18">(W62-0.0345)/1.7191</f>
        <v>7.6493514048048356E-2</v>
      </c>
      <c r="Y62">
        <f t="shared" si="3"/>
        <v>0.53545459833633846</v>
      </c>
    </row>
    <row r="63" spans="1:25" x14ac:dyDescent="0.25">
      <c r="A63">
        <v>1</v>
      </c>
      <c r="J63">
        <v>2</v>
      </c>
      <c r="U63" t="s">
        <v>183</v>
      </c>
      <c r="V63" s="48">
        <v>0.68500000000000005</v>
      </c>
      <c r="W63">
        <f t="shared" si="17"/>
        <v>0.27700000000000002</v>
      </c>
      <c r="X63">
        <f t="shared" si="18"/>
        <v>0.14106218370077367</v>
      </c>
      <c r="Y63">
        <f t="shared" si="3"/>
        <v>0.98743528590541563</v>
      </c>
    </row>
    <row r="64" spans="1:25" x14ac:dyDescent="0.25">
      <c r="U64" t="s">
        <v>184</v>
      </c>
      <c r="V64" s="48">
        <v>0.622</v>
      </c>
      <c r="W64">
        <f t="shared" si="17"/>
        <v>0.21399999999999997</v>
      </c>
      <c r="X64">
        <f t="shared" si="18"/>
        <v>0.10441510092490254</v>
      </c>
      <c r="Y64">
        <f t="shared" si="3"/>
        <v>0.73090570647431774</v>
      </c>
    </row>
    <row r="65" spans="21:25" x14ac:dyDescent="0.25">
      <c r="U65" t="s">
        <v>185</v>
      </c>
      <c r="V65" s="46">
        <v>0.71399999999999997</v>
      </c>
      <c r="W65">
        <f t="shared" si="17"/>
        <v>0.30599999999999994</v>
      </c>
      <c r="X65">
        <f t="shared" si="18"/>
        <v>0.15793147577220637</v>
      </c>
      <c r="Y65">
        <f t="shared" si="3"/>
        <v>1.1055203304054446</v>
      </c>
    </row>
    <row r="66" spans="21:25" x14ac:dyDescent="0.25">
      <c r="U66" t="s">
        <v>186</v>
      </c>
      <c r="V66" s="45">
        <v>0.57399999999999995</v>
      </c>
      <c r="W66">
        <f t="shared" si="17"/>
        <v>0.16599999999999993</v>
      </c>
      <c r="X66">
        <f t="shared" si="18"/>
        <v>7.6493514048048356E-2</v>
      </c>
      <c r="Y66">
        <f t="shared" si="3"/>
        <v>0.53545459833633846</v>
      </c>
    </row>
    <row r="67" spans="21:25" x14ac:dyDescent="0.25">
      <c r="U67" t="s">
        <v>187</v>
      </c>
      <c r="V67" s="48">
        <v>0.61399999999999999</v>
      </c>
      <c r="W67">
        <f t="shared" si="17"/>
        <v>0.20599999999999996</v>
      </c>
      <c r="X67">
        <f t="shared" si="18"/>
        <v>9.9761503112093503E-2</v>
      </c>
      <c r="Y67">
        <f t="shared" si="3"/>
        <v>0.69833052178465449</v>
      </c>
    </row>
    <row r="68" spans="21:25" x14ac:dyDescent="0.25">
      <c r="U68" t="s">
        <v>188</v>
      </c>
      <c r="V68" s="45">
        <v>0.60099999999999998</v>
      </c>
      <c r="W68">
        <f t="shared" si="17"/>
        <v>0.19299999999999995</v>
      </c>
      <c r="X68">
        <f t="shared" si="18"/>
        <v>9.2199406666278835E-2</v>
      </c>
      <c r="Y68">
        <f t="shared" ref="Y68:Y70" si="19">X68*7</f>
        <v>0.64539584666395189</v>
      </c>
    </row>
    <row r="69" spans="21:25" x14ac:dyDescent="0.25">
      <c r="U69" t="s">
        <v>190</v>
      </c>
      <c r="V69" s="45">
        <v>0.57399999999999995</v>
      </c>
      <c r="W69">
        <f t="shared" si="17"/>
        <v>0.16599999999999993</v>
      </c>
      <c r="X69">
        <f t="shared" si="18"/>
        <v>7.6493514048048356E-2</v>
      </c>
      <c r="Y69">
        <f t="shared" si="19"/>
        <v>0.53545459833633846</v>
      </c>
    </row>
    <row r="70" spans="21:25" x14ac:dyDescent="0.25">
      <c r="U70" t="s">
        <v>191</v>
      </c>
      <c r="V70" s="55">
        <v>0.63100000000000001</v>
      </c>
      <c r="W70">
        <f t="shared" si="17"/>
        <v>0.22299999999999998</v>
      </c>
      <c r="X70">
        <f t="shared" si="18"/>
        <v>0.1096503984643127</v>
      </c>
      <c r="Y70">
        <f t="shared" si="19"/>
        <v>0.76755278925018888</v>
      </c>
    </row>
    <row r="81" spans="1:10" x14ac:dyDescent="0.25">
      <c r="A81">
        <v>3</v>
      </c>
      <c r="J81">
        <v>4</v>
      </c>
    </row>
    <row r="98" spans="1:10" x14ac:dyDescent="0.25">
      <c r="A98">
        <v>5</v>
      </c>
      <c r="J98">
        <v>6</v>
      </c>
    </row>
  </sheetData>
  <mergeCells count="2">
    <mergeCell ref="P1:R1"/>
    <mergeCell ref="U1:X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4EDA-4C82-416C-B01A-20F593F9D693}">
  <dimension ref="A1:Y99"/>
  <sheetViews>
    <sheetView topLeftCell="E51" workbookViewId="0">
      <selection activeCell="Y11" sqref="Y11"/>
    </sheetView>
  </sheetViews>
  <sheetFormatPr defaultRowHeight="15" x14ac:dyDescent="0.25"/>
  <cols>
    <col min="17" max="17" width="21.85546875" customWidth="1"/>
    <col min="18" max="18" width="18.7109375" customWidth="1"/>
    <col min="22" max="22" width="14" customWidth="1"/>
    <col min="23" max="23" width="21.85546875" customWidth="1"/>
    <col min="24" max="24" width="22" customWidth="1"/>
    <col min="25" max="25" width="23.42578125" customWidth="1"/>
  </cols>
  <sheetData>
    <row r="1" spans="1:25" x14ac:dyDescent="0.25">
      <c r="A1">
        <v>1</v>
      </c>
      <c r="P1" s="96" t="s">
        <v>217</v>
      </c>
      <c r="Q1" s="96"/>
      <c r="R1" s="96"/>
      <c r="U1" s="96" t="s">
        <v>218</v>
      </c>
      <c r="V1" s="96"/>
      <c r="W1" s="96"/>
      <c r="X1" s="96"/>
    </row>
    <row r="2" spans="1:25" x14ac:dyDescent="0.25">
      <c r="A2" s="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O2">
        <v>1</v>
      </c>
      <c r="Q2" t="s">
        <v>219</v>
      </c>
      <c r="R2" t="s">
        <v>220</v>
      </c>
      <c r="T2">
        <v>1</v>
      </c>
      <c r="U2" t="s">
        <v>0</v>
      </c>
      <c r="V2" t="s">
        <v>221</v>
      </c>
      <c r="W2" t="s">
        <v>222</v>
      </c>
      <c r="X2" t="s">
        <v>223</v>
      </c>
      <c r="Y2" t="s">
        <v>224</v>
      </c>
    </row>
    <row r="3" spans="1:25" x14ac:dyDescent="0.25">
      <c r="A3" s="2" t="s">
        <v>118</v>
      </c>
      <c r="B3" s="5">
        <v>0.42299999999999999</v>
      </c>
      <c r="C3" s="6">
        <v>0.38700000000000001</v>
      </c>
      <c r="D3" s="4"/>
      <c r="E3" s="13">
        <v>0.62</v>
      </c>
      <c r="F3" s="13">
        <v>0.60599999999999998</v>
      </c>
      <c r="G3" s="8">
        <v>0.56999999999999995</v>
      </c>
      <c r="H3" s="8">
        <v>0.56000000000000005</v>
      </c>
      <c r="I3" s="8">
        <v>0.59299999999999997</v>
      </c>
      <c r="J3" s="13">
        <v>0.68600000000000005</v>
      </c>
      <c r="K3" s="13">
        <v>0.64400000000000002</v>
      </c>
      <c r="L3" s="8">
        <v>0.57799999999999996</v>
      </c>
      <c r="M3" s="8">
        <v>0.56100000000000005</v>
      </c>
      <c r="P3">
        <v>0</v>
      </c>
      <c r="Q3">
        <f>AVERAGE(B3:C3)</f>
        <v>0.40500000000000003</v>
      </c>
      <c r="R3">
        <f>Q3-Q$3</f>
        <v>0</v>
      </c>
      <c r="U3" t="s">
        <v>192</v>
      </c>
      <c r="V3" s="13">
        <v>0.62</v>
      </c>
      <c r="W3">
        <f>V3-Q$3</f>
        <v>0.21499999999999997</v>
      </c>
      <c r="X3">
        <f>(W3-0.0463)/1.7857</f>
        <v>9.4472755782046225E-2</v>
      </c>
      <c r="Y3">
        <f>7*X3</f>
        <v>0.66130929047432363</v>
      </c>
    </row>
    <row r="4" spans="1:25" x14ac:dyDescent="0.25">
      <c r="A4" s="2" t="s">
        <v>120</v>
      </c>
      <c r="B4" s="8">
        <v>0.57099999999999995</v>
      </c>
      <c r="C4" s="8">
        <v>0.56799999999999995</v>
      </c>
      <c r="D4" s="4"/>
      <c r="E4" s="4"/>
      <c r="F4" s="4"/>
      <c r="G4" s="4"/>
      <c r="H4" s="4"/>
      <c r="I4" s="4"/>
      <c r="J4" s="4"/>
      <c r="K4" s="4"/>
      <c r="L4" s="4"/>
      <c r="M4" s="4"/>
      <c r="P4">
        <v>0.05</v>
      </c>
      <c r="Q4">
        <f>AVERAGE(B4:C4)</f>
        <v>0.5694999999999999</v>
      </c>
      <c r="R4">
        <f t="shared" ref="R4:R7" si="0">Q4-Q$3</f>
        <v>0.16449999999999987</v>
      </c>
      <c r="U4" t="s">
        <v>193</v>
      </c>
      <c r="V4" s="13">
        <v>0.60599999999999998</v>
      </c>
      <c r="W4">
        <f t="shared" ref="W4:W15" si="1">V4-Q$3</f>
        <v>0.20099999999999996</v>
      </c>
      <c r="X4">
        <f t="shared" ref="X4:X15" si="2">(W4-0.0463)/1.7857</f>
        <v>8.6632693061544461E-2</v>
      </c>
      <c r="Y4">
        <f t="shared" ref="Y4:Y67" si="3">7*X4</f>
        <v>0.60642885143081127</v>
      </c>
    </row>
    <row r="5" spans="1:25" x14ac:dyDescent="0.25">
      <c r="A5" s="2" t="s">
        <v>76</v>
      </c>
      <c r="B5" s="4"/>
      <c r="C5" s="4"/>
      <c r="D5" s="4"/>
      <c r="E5" s="8">
        <v>0.58099999999999996</v>
      </c>
      <c r="F5" s="8">
        <v>0.58699999999999997</v>
      </c>
      <c r="G5" s="13">
        <v>0.63900000000000001</v>
      </c>
      <c r="H5" s="13">
        <v>0.61299999999999999</v>
      </c>
      <c r="I5" s="4"/>
      <c r="J5" s="4"/>
      <c r="K5" s="4"/>
      <c r="L5" s="4"/>
      <c r="M5" s="4"/>
      <c r="P5">
        <v>0.1</v>
      </c>
      <c r="Q5">
        <f>AVERAGE(B6:C6)</f>
        <v>0.66400000000000003</v>
      </c>
      <c r="R5">
        <f t="shared" si="0"/>
        <v>0.25900000000000001</v>
      </c>
      <c r="U5" t="s">
        <v>194</v>
      </c>
      <c r="V5" s="8">
        <v>0.56999999999999995</v>
      </c>
      <c r="W5">
        <f t="shared" si="1"/>
        <v>0.16499999999999992</v>
      </c>
      <c r="X5">
        <f t="shared" si="2"/>
        <v>6.6472531780254196E-2</v>
      </c>
      <c r="Y5">
        <f t="shared" si="3"/>
        <v>0.46530772246177937</v>
      </c>
    </row>
    <row r="6" spans="1:25" x14ac:dyDescent="0.25">
      <c r="A6" s="2" t="s">
        <v>121</v>
      </c>
      <c r="B6" s="13">
        <v>0.66900000000000004</v>
      </c>
      <c r="C6" s="13">
        <v>0.65900000000000003</v>
      </c>
      <c r="D6" s="4"/>
      <c r="E6" s="4"/>
      <c r="F6" s="3">
        <v>4.3999999999999997E-2</v>
      </c>
      <c r="G6" s="4"/>
      <c r="H6" s="4"/>
      <c r="I6" s="4"/>
      <c r="J6" s="4"/>
      <c r="K6" s="4"/>
      <c r="L6" s="4"/>
      <c r="M6" s="4"/>
      <c r="P6">
        <v>0.25</v>
      </c>
      <c r="Q6">
        <f>AVERAGE(B8:C8)</f>
        <v>0.88349999999999995</v>
      </c>
      <c r="R6">
        <f t="shared" si="0"/>
        <v>0.47849999999999993</v>
      </c>
      <c r="U6" t="s">
        <v>195</v>
      </c>
      <c r="V6" s="8">
        <v>0.56000000000000005</v>
      </c>
      <c r="W6">
        <f t="shared" si="1"/>
        <v>0.15500000000000003</v>
      </c>
      <c r="X6">
        <f t="shared" si="2"/>
        <v>6.0872486979895848E-2</v>
      </c>
      <c r="Y6">
        <f t="shared" si="3"/>
        <v>0.42610740885927095</v>
      </c>
    </row>
    <row r="7" spans="1:25" x14ac:dyDescent="0.25">
      <c r="A7" s="2" t="s">
        <v>122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P7">
        <v>0.5</v>
      </c>
      <c r="Q7">
        <f>AVERAGE(B10:C10)</f>
        <v>1.3414999999999999</v>
      </c>
      <c r="R7">
        <f t="shared" si="0"/>
        <v>0.93649999999999989</v>
      </c>
      <c r="U7" t="s">
        <v>196</v>
      </c>
      <c r="V7" s="8">
        <v>0.59299999999999997</v>
      </c>
      <c r="W7">
        <f t="shared" si="1"/>
        <v>0.18799999999999994</v>
      </c>
      <c r="X7">
        <f t="shared" si="2"/>
        <v>7.935263482107853E-2</v>
      </c>
      <c r="Y7">
        <f t="shared" si="3"/>
        <v>0.55546844374754967</v>
      </c>
    </row>
    <row r="8" spans="1:25" x14ac:dyDescent="0.25">
      <c r="A8" s="2" t="s">
        <v>123</v>
      </c>
      <c r="B8" s="16">
        <v>0.89200000000000002</v>
      </c>
      <c r="C8" s="10">
        <v>0.875</v>
      </c>
      <c r="D8" s="4"/>
      <c r="E8" s="4"/>
      <c r="F8" s="4"/>
      <c r="G8" s="4"/>
      <c r="H8" s="4"/>
      <c r="I8" s="4"/>
      <c r="J8" s="4"/>
      <c r="K8" s="4"/>
      <c r="L8" s="4"/>
      <c r="M8" s="4"/>
      <c r="O8">
        <v>2</v>
      </c>
      <c r="U8" t="s">
        <v>197</v>
      </c>
      <c r="V8" s="13">
        <v>0.68600000000000005</v>
      </c>
      <c r="W8">
        <f t="shared" si="1"/>
        <v>0.28100000000000003</v>
      </c>
      <c r="X8">
        <f t="shared" si="2"/>
        <v>0.13143305146441173</v>
      </c>
      <c r="Y8">
        <f t="shared" si="3"/>
        <v>0.92003136025088206</v>
      </c>
    </row>
    <row r="9" spans="1:25" x14ac:dyDescent="0.25">
      <c r="A9" s="2" t="s">
        <v>124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P9">
        <v>0</v>
      </c>
      <c r="Q9">
        <f>AVERAGE(B13:C13)</f>
        <v>0.3805</v>
      </c>
      <c r="R9">
        <f>Q9-Q$9</f>
        <v>0</v>
      </c>
      <c r="U9" t="s">
        <v>198</v>
      </c>
      <c r="V9" s="13">
        <v>0.64400000000000002</v>
      </c>
      <c r="W9">
        <f t="shared" si="1"/>
        <v>0.23899999999999999</v>
      </c>
      <c r="X9">
        <f t="shared" si="2"/>
        <v>0.10791286330290641</v>
      </c>
      <c r="Y9">
        <f t="shared" si="3"/>
        <v>0.75539004312034486</v>
      </c>
    </row>
    <row r="10" spans="1:25" x14ac:dyDescent="0.25">
      <c r="A10" s="2" t="s">
        <v>125</v>
      </c>
      <c r="B10" s="11">
        <v>1.353</v>
      </c>
      <c r="C10" s="11">
        <v>1.33</v>
      </c>
      <c r="D10" s="4"/>
      <c r="E10" s="4"/>
      <c r="F10" s="4"/>
      <c r="G10" s="4"/>
      <c r="H10" s="4"/>
      <c r="I10" s="4"/>
      <c r="J10" s="4"/>
      <c r="K10" s="4"/>
      <c r="L10" s="4"/>
      <c r="M10" s="4"/>
      <c r="P10">
        <v>0.05</v>
      </c>
      <c r="Q10">
        <f>AVERAGE(B14:C14)</f>
        <v>0.52600000000000002</v>
      </c>
      <c r="R10">
        <f t="shared" ref="R10:R13" si="4">Q10-Q$9</f>
        <v>0.14550000000000002</v>
      </c>
      <c r="U10" t="s">
        <v>199</v>
      </c>
      <c r="V10" s="8">
        <v>0.57799999999999996</v>
      </c>
      <c r="W10">
        <f t="shared" si="1"/>
        <v>0.17299999999999993</v>
      </c>
      <c r="X10">
        <f t="shared" si="2"/>
        <v>7.0952567620540918E-2</v>
      </c>
      <c r="Y10">
        <f t="shared" si="3"/>
        <v>0.49666797334378643</v>
      </c>
    </row>
    <row r="11" spans="1:25" x14ac:dyDescent="0.25">
      <c r="A11">
        <v>2</v>
      </c>
      <c r="P11">
        <v>0.1</v>
      </c>
      <c r="Q11">
        <f>AVERAGE(B16:C16)</f>
        <v>0.64400000000000002</v>
      </c>
      <c r="R11">
        <f t="shared" si="4"/>
        <v>0.26350000000000001</v>
      </c>
      <c r="U11" t="s">
        <v>200</v>
      </c>
      <c r="V11" s="8">
        <v>0.56100000000000005</v>
      </c>
      <c r="W11">
        <f t="shared" si="1"/>
        <v>0.15600000000000003</v>
      </c>
      <c r="X11">
        <f t="shared" si="2"/>
        <v>6.1432491459931689E-2</v>
      </c>
      <c r="Y11">
        <f t="shared" si="3"/>
        <v>0.43002744021952183</v>
      </c>
    </row>
    <row r="12" spans="1:25" x14ac:dyDescent="0.25">
      <c r="A12" s="1"/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P12">
        <v>0.25</v>
      </c>
      <c r="Q12">
        <f>AVERAGE(B18:C18)</f>
        <v>0.84050000000000002</v>
      </c>
      <c r="R12">
        <f t="shared" si="4"/>
        <v>0.46</v>
      </c>
      <c r="U12" t="s">
        <v>201</v>
      </c>
      <c r="V12" s="8">
        <v>0.58099999999999996</v>
      </c>
      <c r="W12">
        <f t="shared" si="1"/>
        <v>0.17599999999999993</v>
      </c>
      <c r="X12">
        <f t="shared" si="2"/>
        <v>7.2632581060648446E-2</v>
      </c>
      <c r="Y12">
        <f t="shared" si="3"/>
        <v>0.50842806742453917</v>
      </c>
    </row>
    <row r="13" spans="1:25" x14ac:dyDescent="0.25">
      <c r="A13" s="2" t="s">
        <v>118</v>
      </c>
      <c r="B13" s="3">
        <v>0.379</v>
      </c>
      <c r="C13" s="3">
        <v>0.38200000000000001</v>
      </c>
      <c r="D13" s="4"/>
      <c r="E13" s="6">
        <v>0.57499999999999996</v>
      </c>
      <c r="F13" s="6">
        <v>0.58299999999999996</v>
      </c>
      <c r="G13" s="6">
        <v>0.58199999999999996</v>
      </c>
      <c r="H13" s="6">
        <v>0.52800000000000002</v>
      </c>
      <c r="I13" s="6">
        <v>0.57899999999999996</v>
      </c>
      <c r="J13" s="8">
        <v>0.67200000000000004</v>
      </c>
      <c r="K13" s="5">
        <v>0.63400000000000001</v>
      </c>
      <c r="L13" s="6">
        <v>0.52700000000000002</v>
      </c>
      <c r="M13" s="6">
        <v>0.55100000000000005</v>
      </c>
      <c r="P13">
        <v>0.5</v>
      </c>
      <c r="Q13">
        <f>AVERAGE(B20:C20)</f>
        <v>1.3035000000000001</v>
      </c>
      <c r="R13">
        <f t="shared" si="4"/>
        <v>0.92300000000000004</v>
      </c>
      <c r="U13" t="s">
        <v>202</v>
      </c>
      <c r="V13" s="8">
        <v>0.58699999999999997</v>
      </c>
      <c r="W13">
        <f t="shared" si="1"/>
        <v>0.18199999999999994</v>
      </c>
      <c r="X13">
        <f t="shared" si="2"/>
        <v>7.5992607940863488E-2</v>
      </c>
      <c r="Y13">
        <f t="shared" si="3"/>
        <v>0.53194825558604442</v>
      </c>
    </row>
    <row r="14" spans="1:25" x14ac:dyDescent="0.25">
      <c r="A14" s="2" t="s">
        <v>120</v>
      </c>
      <c r="B14" s="7">
        <v>0.52600000000000002</v>
      </c>
      <c r="C14" s="7">
        <v>0.52600000000000002</v>
      </c>
      <c r="D14" s="4"/>
      <c r="E14" s="4"/>
      <c r="F14" s="4"/>
      <c r="G14" s="4"/>
      <c r="H14" s="4"/>
      <c r="I14" s="4"/>
      <c r="J14" s="4"/>
      <c r="K14" s="4"/>
      <c r="L14" s="4"/>
      <c r="M14" s="4"/>
      <c r="O14">
        <v>3</v>
      </c>
      <c r="U14" t="s">
        <v>203</v>
      </c>
      <c r="V14" s="13">
        <v>0.63900000000000001</v>
      </c>
      <c r="W14">
        <f t="shared" si="1"/>
        <v>0.23399999999999999</v>
      </c>
      <c r="X14">
        <f t="shared" si="2"/>
        <v>0.10511284090272721</v>
      </c>
      <c r="Y14">
        <f t="shared" si="3"/>
        <v>0.73578988631909048</v>
      </c>
    </row>
    <row r="15" spans="1:25" x14ac:dyDescent="0.25">
      <c r="A15" s="2" t="s">
        <v>76</v>
      </c>
      <c r="B15" s="4"/>
      <c r="C15" s="4"/>
      <c r="D15" s="4"/>
      <c r="E15" s="6">
        <v>0.59199999999999997</v>
      </c>
      <c r="F15" s="15">
        <v>0.82399999999999995</v>
      </c>
      <c r="G15" s="3">
        <v>0.31</v>
      </c>
      <c r="H15" s="6">
        <v>0.59799999999999998</v>
      </c>
      <c r="I15" s="4"/>
      <c r="J15" s="4"/>
      <c r="K15" s="4"/>
      <c r="L15" s="4"/>
      <c r="M15" s="4"/>
      <c r="P15">
        <v>0</v>
      </c>
      <c r="Q15">
        <f>AVERAGE(B23:C23)</f>
        <v>0.3755</v>
      </c>
      <c r="R15">
        <f>Q15-Q$15</f>
        <v>0</v>
      </c>
      <c r="U15" t="s">
        <v>204</v>
      </c>
      <c r="V15" s="13">
        <v>0.61299999999999999</v>
      </c>
      <c r="W15">
        <f t="shared" si="1"/>
        <v>0.20799999999999996</v>
      </c>
      <c r="X15">
        <f t="shared" si="2"/>
        <v>9.055272442179535E-2</v>
      </c>
      <c r="Y15">
        <f t="shared" si="3"/>
        <v>0.63386907095256739</v>
      </c>
    </row>
    <row r="16" spans="1:25" x14ac:dyDescent="0.25">
      <c r="A16" s="2" t="s">
        <v>121</v>
      </c>
      <c r="B16" s="5">
        <v>0.65</v>
      </c>
      <c r="C16" s="5">
        <v>0.63800000000000001</v>
      </c>
      <c r="D16" s="4"/>
      <c r="E16" s="4"/>
      <c r="F16" s="4"/>
      <c r="G16" s="6">
        <v>0.57499999999999996</v>
      </c>
      <c r="H16" s="4"/>
      <c r="I16" s="4"/>
      <c r="J16" s="4"/>
      <c r="K16" s="4"/>
      <c r="L16" s="4"/>
      <c r="M16" s="4"/>
      <c r="P16">
        <v>0.05</v>
      </c>
      <c r="Q16">
        <f>AVERAGE(B24:C24)</f>
        <v>0.52550000000000008</v>
      </c>
      <c r="R16">
        <f t="shared" ref="R16:R19" si="5">Q16-Q$15</f>
        <v>0.15000000000000008</v>
      </c>
      <c r="T16">
        <v>2</v>
      </c>
      <c r="U16" t="s">
        <v>0</v>
      </c>
      <c r="V16" t="s">
        <v>221</v>
      </c>
      <c r="W16" t="s">
        <v>222</v>
      </c>
      <c r="X16" t="s">
        <v>223</v>
      </c>
      <c r="Y16" t="s">
        <v>224</v>
      </c>
    </row>
    <row r="17" spans="1:25" x14ac:dyDescent="0.25">
      <c r="A17" s="2" t="s">
        <v>122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P17">
        <v>0.1</v>
      </c>
      <c r="Q17">
        <f>AVERAGE(B26:C26)</f>
        <v>0.64100000000000001</v>
      </c>
      <c r="R17">
        <f t="shared" si="5"/>
        <v>0.26550000000000001</v>
      </c>
      <c r="U17" t="s">
        <v>192</v>
      </c>
      <c r="V17" s="6">
        <v>0.57499999999999996</v>
      </c>
      <c r="W17">
        <f>V17-Q$9</f>
        <v>0.19449999999999995</v>
      </c>
      <c r="X17">
        <f>(W17-0.0408)/1.7642</f>
        <v>8.7121641537240641E-2</v>
      </c>
      <c r="Y17">
        <f t="shared" si="3"/>
        <v>0.60985149076068446</v>
      </c>
    </row>
    <row r="18" spans="1:25" x14ac:dyDescent="0.25">
      <c r="A18" s="2" t="s">
        <v>123</v>
      </c>
      <c r="B18" s="15">
        <v>0.86599999999999999</v>
      </c>
      <c r="C18" s="13">
        <v>0.81499999999999995</v>
      </c>
      <c r="D18" s="4"/>
      <c r="E18" s="4"/>
      <c r="F18" s="4"/>
      <c r="G18" s="4"/>
      <c r="H18" s="4"/>
      <c r="I18" s="4"/>
      <c r="J18" s="4"/>
      <c r="K18" s="4"/>
      <c r="L18" s="4"/>
      <c r="M18" s="4"/>
      <c r="P18">
        <v>0.25</v>
      </c>
      <c r="Q18">
        <f>AVERAGE(B28:C28)</f>
        <v>0.84499999999999997</v>
      </c>
      <c r="R18">
        <f t="shared" si="5"/>
        <v>0.46949999999999997</v>
      </c>
      <c r="U18" t="s">
        <v>193</v>
      </c>
      <c r="V18" s="6">
        <v>0.58299999999999996</v>
      </c>
      <c r="W18">
        <f t="shared" ref="W18:W29" si="6">V18-Q$9</f>
        <v>0.20249999999999996</v>
      </c>
      <c r="X18">
        <f t="shared" ref="X18:X29" si="7">(W18-0.0408)/1.7642</f>
        <v>9.1656274798775625E-2</v>
      </c>
      <c r="Y18">
        <f t="shared" si="3"/>
        <v>0.64159392359142942</v>
      </c>
    </row>
    <row r="19" spans="1:25" x14ac:dyDescent="0.25">
      <c r="A19" s="2" t="s">
        <v>124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P19">
        <v>0.5</v>
      </c>
      <c r="Q19">
        <f>AVERAGE(B30:C30)</f>
        <v>1.2635000000000001</v>
      </c>
      <c r="R19">
        <f t="shared" si="5"/>
        <v>0.88800000000000012</v>
      </c>
      <c r="U19" t="s">
        <v>194</v>
      </c>
      <c r="V19" s="6">
        <v>0.58199999999999996</v>
      </c>
      <c r="W19">
        <f t="shared" si="6"/>
        <v>0.20149999999999996</v>
      </c>
      <c r="X19">
        <f t="shared" si="7"/>
        <v>9.1089445641083747E-2</v>
      </c>
      <c r="Y19">
        <f t="shared" si="3"/>
        <v>0.63762611948758618</v>
      </c>
    </row>
    <row r="20" spans="1:25" x14ac:dyDescent="0.25">
      <c r="A20" s="2" t="s">
        <v>125</v>
      </c>
      <c r="B20" s="11">
        <v>1.32</v>
      </c>
      <c r="C20" s="11">
        <v>1.2869999999999999</v>
      </c>
      <c r="D20" s="4"/>
      <c r="E20" s="4"/>
      <c r="F20" s="4"/>
      <c r="G20" s="4"/>
      <c r="H20" s="4"/>
      <c r="I20" s="4"/>
      <c r="J20" s="4"/>
      <c r="K20" s="4"/>
      <c r="L20" s="4"/>
      <c r="M20" s="4"/>
      <c r="O20">
        <v>4</v>
      </c>
      <c r="U20" t="s">
        <v>195</v>
      </c>
      <c r="V20" s="6">
        <v>0.52800000000000002</v>
      </c>
      <c r="W20">
        <f t="shared" si="6"/>
        <v>0.14750000000000002</v>
      </c>
      <c r="X20">
        <f t="shared" si="7"/>
        <v>6.0480671125722717E-2</v>
      </c>
      <c r="Y20">
        <f t="shared" si="3"/>
        <v>0.42336469788005904</v>
      </c>
    </row>
    <row r="21" spans="1:25" x14ac:dyDescent="0.25">
      <c r="A21">
        <v>3</v>
      </c>
      <c r="P21">
        <v>0</v>
      </c>
      <c r="Q21">
        <f>AVERAGE(B33:C33)</f>
        <v>0.36849999999999999</v>
      </c>
      <c r="R21">
        <f>Q21-Q$21</f>
        <v>0</v>
      </c>
      <c r="U21" t="s">
        <v>196</v>
      </c>
      <c r="V21" s="6">
        <v>0.57899999999999996</v>
      </c>
      <c r="W21">
        <f t="shared" si="6"/>
        <v>0.19849999999999995</v>
      </c>
      <c r="X21">
        <f t="shared" si="7"/>
        <v>8.938895816800814E-2</v>
      </c>
      <c r="Y21">
        <f t="shared" si="3"/>
        <v>0.62572270717605694</v>
      </c>
    </row>
    <row r="22" spans="1:25" x14ac:dyDescent="0.25">
      <c r="A22" s="1"/>
      <c r="B22" s="2">
        <v>1</v>
      </c>
      <c r="C22" s="2">
        <v>2</v>
      </c>
      <c r="D22" s="2">
        <v>3</v>
      </c>
      <c r="E22" s="2">
        <v>4</v>
      </c>
      <c r="F22" s="2">
        <v>5</v>
      </c>
      <c r="G22" s="2">
        <v>6</v>
      </c>
      <c r="H22" s="2">
        <v>7</v>
      </c>
      <c r="I22" s="2">
        <v>8</v>
      </c>
      <c r="J22" s="2">
        <v>9</v>
      </c>
      <c r="K22" s="2">
        <v>10</v>
      </c>
      <c r="L22" s="2">
        <v>11</v>
      </c>
      <c r="M22" s="2">
        <v>12</v>
      </c>
      <c r="P22">
        <v>0.05</v>
      </c>
      <c r="Q22">
        <f>AVERAGE(B34:C34)</f>
        <v>0.50600000000000001</v>
      </c>
      <c r="R22">
        <f t="shared" ref="R22:R25" si="8">Q22-Q$21</f>
        <v>0.13750000000000001</v>
      </c>
      <c r="U22" t="s">
        <v>197</v>
      </c>
      <c r="V22" s="8">
        <v>0.67200000000000004</v>
      </c>
      <c r="W22">
        <f t="shared" si="6"/>
        <v>0.29150000000000004</v>
      </c>
      <c r="X22">
        <f t="shared" si="7"/>
        <v>0.14210406983335225</v>
      </c>
      <c r="Y22">
        <f t="shared" si="3"/>
        <v>0.99472848883346576</v>
      </c>
    </row>
    <row r="23" spans="1:25" x14ac:dyDescent="0.25">
      <c r="A23" s="2" t="s">
        <v>118</v>
      </c>
      <c r="B23" s="6">
        <v>0.37</v>
      </c>
      <c r="C23" s="6">
        <v>0.38100000000000001</v>
      </c>
      <c r="D23" s="4"/>
      <c r="E23" s="13">
        <v>0.59299999999999997</v>
      </c>
      <c r="F23" s="8">
        <v>0.51400000000000001</v>
      </c>
      <c r="G23" s="8">
        <v>0.55700000000000005</v>
      </c>
      <c r="H23" s="8">
        <v>0.51600000000000001</v>
      </c>
      <c r="I23" s="8">
        <v>0.57199999999999995</v>
      </c>
      <c r="J23" s="13">
        <v>0.60799999999999998</v>
      </c>
      <c r="K23" s="13">
        <v>0.60199999999999998</v>
      </c>
      <c r="L23" s="8">
        <v>0.52700000000000002</v>
      </c>
      <c r="M23" s="8">
        <v>0.54</v>
      </c>
      <c r="P23">
        <v>0.1</v>
      </c>
      <c r="Q23">
        <f>AVERAGE(B36:C36)</f>
        <v>0.628</v>
      </c>
      <c r="R23">
        <f t="shared" si="8"/>
        <v>0.25950000000000001</v>
      </c>
      <c r="U23" t="s">
        <v>198</v>
      </c>
      <c r="V23" s="5">
        <v>0.63400000000000001</v>
      </c>
      <c r="W23">
        <f t="shared" si="6"/>
        <v>0.2535</v>
      </c>
      <c r="X23">
        <f t="shared" si="7"/>
        <v>0.12056456184106111</v>
      </c>
      <c r="Y23">
        <f t="shared" si="3"/>
        <v>0.84395193288742776</v>
      </c>
    </row>
    <row r="24" spans="1:25" x14ac:dyDescent="0.25">
      <c r="A24" s="2" t="s">
        <v>120</v>
      </c>
      <c r="B24" s="8">
        <v>0.52300000000000002</v>
      </c>
      <c r="C24" s="8">
        <v>0.52800000000000002</v>
      </c>
      <c r="D24" s="4"/>
      <c r="E24" s="4"/>
      <c r="F24" s="4"/>
      <c r="G24" s="4"/>
      <c r="H24" s="4"/>
      <c r="I24" s="4"/>
      <c r="J24" s="4"/>
      <c r="K24" s="4"/>
      <c r="L24" s="4"/>
      <c r="M24" s="4"/>
      <c r="P24">
        <v>0.25</v>
      </c>
      <c r="Q24">
        <f>AVERAGE(B38:C38)</f>
        <v>0.90050000000000008</v>
      </c>
      <c r="R24">
        <f t="shared" si="8"/>
        <v>0.53200000000000003</v>
      </c>
      <c r="U24" t="s">
        <v>199</v>
      </c>
      <c r="V24" s="6">
        <v>0.52700000000000002</v>
      </c>
      <c r="W24">
        <f t="shared" si="6"/>
        <v>0.14650000000000002</v>
      </c>
      <c r="X24">
        <f t="shared" si="7"/>
        <v>5.9913841968030845E-2</v>
      </c>
      <c r="Y24">
        <f t="shared" si="3"/>
        <v>0.41939689377621592</v>
      </c>
    </row>
    <row r="25" spans="1:25" x14ac:dyDescent="0.25">
      <c r="A25" s="2" t="s">
        <v>76</v>
      </c>
      <c r="B25" s="4"/>
      <c r="C25" s="4"/>
      <c r="D25" s="4"/>
      <c r="E25" s="8">
        <v>0.54900000000000004</v>
      </c>
      <c r="F25" s="8">
        <v>0.56399999999999995</v>
      </c>
      <c r="G25" s="13">
        <v>0.59899999999999998</v>
      </c>
      <c r="H25" s="13">
        <v>0.59</v>
      </c>
      <c r="I25" s="4"/>
      <c r="J25" s="4"/>
      <c r="K25" s="4"/>
      <c r="L25" s="4"/>
      <c r="M25" s="4"/>
      <c r="P25">
        <v>0.5</v>
      </c>
      <c r="Q25">
        <f>AVERAGE(B40:C40)</f>
        <v>1.276</v>
      </c>
      <c r="R25">
        <f t="shared" si="8"/>
        <v>0.90749999999999997</v>
      </c>
      <c r="U25" t="s">
        <v>200</v>
      </c>
      <c r="V25" s="6">
        <v>0.55100000000000005</v>
      </c>
      <c r="W25">
        <f t="shared" si="6"/>
        <v>0.17050000000000004</v>
      </c>
      <c r="X25">
        <f t="shared" si="7"/>
        <v>7.3517741752635771E-2</v>
      </c>
      <c r="Y25">
        <f t="shared" si="3"/>
        <v>0.51462419226845035</v>
      </c>
    </row>
    <row r="26" spans="1:25" x14ac:dyDescent="0.25">
      <c r="A26" s="2" t="s">
        <v>121</v>
      </c>
      <c r="B26" s="13">
        <v>0.65600000000000003</v>
      </c>
      <c r="C26" s="13">
        <v>0.626</v>
      </c>
      <c r="D26" s="4"/>
      <c r="E26" s="4"/>
      <c r="F26" s="4"/>
      <c r="G26" s="3">
        <v>4.4999999999999998E-2</v>
      </c>
      <c r="H26" s="4"/>
      <c r="I26" s="4"/>
      <c r="J26" s="4"/>
      <c r="K26" s="4"/>
      <c r="L26" s="4"/>
      <c r="M26" s="4"/>
      <c r="O26">
        <v>5</v>
      </c>
      <c r="U26" t="s">
        <v>201</v>
      </c>
      <c r="V26" s="6">
        <v>0.59199999999999997</v>
      </c>
      <c r="W26">
        <f t="shared" si="6"/>
        <v>0.21149999999999997</v>
      </c>
      <c r="X26">
        <f t="shared" si="7"/>
        <v>9.6757737218002474E-2</v>
      </c>
      <c r="Y26">
        <f t="shared" si="3"/>
        <v>0.67730416052601727</v>
      </c>
    </row>
    <row r="27" spans="1:25" x14ac:dyDescent="0.25">
      <c r="A27" s="2" t="s">
        <v>122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P27">
        <v>0</v>
      </c>
      <c r="Q27">
        <f>AVERAGE(B43:C43)</f>
        <v>0.33750000000000002</v>
      </c>
      <c r="R27">
        <f>Q27-Q$27</f>
        <v>0</v>
      </c>
      <c r="U27" t="s">
        <v>202</v>
      </c>
      <c r="V27" s="15">
        <v>0.82399999999999995</v>
      </c>
      <c r="W27">
        <f t="shared" si="6"/>
        <v>0.44349999999999995</v>
      </c>
      <c r="X27">
        <f t="shared" si="7"/>
        <v>0.22826210180251669</v>
      </c>
      <c r="Y27">
        <f t="shared" si="3"/>
        <v>1.5978347126176169</v>
      </c>
    </row>
    <row r="28" spans="1:25" x14ac:dyDescent="0.25">
      <c r="A28" s="2" t="s">
        <v>123</v>
      </c>
      <c r="B28" s="10">
        <v>0.82199999999999995</v>
      </c>
      <c r="C28" s="16">
        <v>0.86799999999999999</v>
      </c>
      <c r="D28" s="4"/>
      <c r="E28" s="4"/>
      <c r="F28" s="4"/>
      <c r="G28" s="4"/>
      <c r="H28" s="4"/>
      <c r="I28" s="4"/>
      <c r="J28" s="4"/>
      <c r="K28" s="4"/>
      <c r="L28" s="4"/>
      <c r="M28" s="4"/>
      <c r="P28">
        <v>0.05</v>
      </c>
      <c r="Q28">
        <f>AVERAGE(B44:C44)</f>
        <v>0.49399999999999999</v>
      </c>
      <c r="R28">
        <f t="shared" ref="R28:R31" si="9">Q28-Q$27</f>
        <v>0.15649999999999997</v>
      </c>
      <c r="U28" t="s">
        <v>203</v>
      </c>
      <c r="V28" s="6">
        <v>0.57499999999999996</v>
      </c>
      <c r="W28">
        <f t="shared" si="6"/>
        <v>0.19449999999999995</v>
      </c>
      <c r="X28">
        <f t="shared" si="7"/>
        <v>8.7121641537240641E-2</v>
      </c>
      <c r="Y28">
        <f t="shared" si="3"/>
        <v>0.60985149076068446</v>
      </c>
    </row>
    <row r="29" spans="1:25" x14ac:dyDescent="0.25">
      <c r="A29" s="2" t="s">
        <v>124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P29">
        <v>0.1</v>
      </c>
      <c r="Q29">
        <f>AVERAGE(B46:C46)</f>
        <v>0.59949999999999992</v>
      </c>
      <c r="R29">
        <f t="shared" si="9"/>
        <v>0.2619999999999999</v>
      </c>
      <c r="U29" t="s">
        <v>204</v>
      </c>
      <c r="V29" s="6">
        <v>0.59799999999999998</v>
      </c>
      <c r="W29">
        <f t="shared" si="6"/>
        <v>0.21749999999999997</v>
      </c>
      <c r="X29">
        <f t="shared" si="7"/>
        <v>0.1001587121641537</v>
      </c>
      <c r="Y29">
        <f t="shared" si="3"/>
        <v>0.70111098514907588</v>
      </c>
    </row>
    <row r="30" spans="1:25" x14ac:dyDescent="0.25">
      <c r="A30" s="2" t="s">
        <v>125</v>
      </c>
      <c r="B30" s="11">
        <v>1.3</v>
      </c>
      <c r="C30" s="11">
        <v>1.2270000000000001</v>
      </c>
      <c r="D30" s="4"/>
      <c r="E30" s="4"/>
      <c r="F30" s="4"/>
      <c r="G30" s="4"/>
      <c r="H30" s="4"/>
      <c r="I30" s="4"/>
      <c r="J30" s="4"/>
      <c r="K30" s="4"/>
      <c r="L30" s="4"/>
      <c r="M30" s="4"/>
      <c r="P30">
        <v>0.25</v>
      </c>
      <c r="Q30">
        <f>AVERAGE(B48:C48)</f>
        <v>0.86299999999999999</v>
      </c>
      <c r="R30">
        <f t="shared" si="9"/>
        <v>0.52549999999999997</v>
      </c>
      <c r="T30">
        <v>3</v>
      </c>
      <c r="U30" t="s">
        <v>0</v>
      </c>
      <c r="V30" t="s">
        <v>221</v>
      </c>
      <c r="W30" t="s">
        <v>222</v>
      </c>
      <c r="X30" t="s">
        <v>223</v>
      </c>
      <c r="Y30" t="s">
        <v>224</v>
      </c>
    </row>
    <row r="31" spans="1:25" x14ac:dyDescent="0.25">
      <c r="P31">
        <v>0.5</v>
      </c>
      <c r="Q31">
        <f>AVERAGE(B50:C50)</f>
        <v>1.1935</v>
      </c>
      <c r="R31">
        <f t="shared" si="9"/>
        <v>0.85599999999999998</v>
      </c>
      <c r="U31" t="s">
        <v>192</v>
      </c>
      <c r="V31" s="13">
        <v>0.59299999999999997</v>
      </c>
      <c r="W31">
        <f>V31-Q$15</f>
        <v>0.21749999999999997</v>
      </c>
      <c r="X31">
        <f>(W31-0.0495)/1.695</f>
        <v>9.9115044247787595E-2</v>
      </c>
      <c r="Y31">
        <f t="shared" si="3"/>
        <v>0.69380530973451315</v>
      </c>
    </row>
    <row r="32" spans="1:25" x14ac:dyDescent="0.25">
      <c r="A32" s="20"/>
      <c r="B32" s="21">
        <v>1</v>
      </c>
      <c r="C32" s="21">
        <v>2</v>
      </c>
      <c r="D32" s="21">
        <v>3</v>
      </c>
      <c r="E32" s="21">
        <v>4</v>
      </c>
      <c r="F32" s="21">
        <v>5</v>
      </c>
      <c r="G32" s="21">
        <v>6</v>
      </c>
      <c r="H32" s="21">
        <v>7</v>
      </c>
      <c r="I32" s="21">
        <v>8</v>
      </c>
      <c r="J32" s="21">
        <v>9</v>
      </c>
      <c r="K32" s="21">
        <v>10</v>
      </c>
      <c r="L32" s="21">
        <v>11</v>
      </c>
      <c r="M32" s="21">
        <v>12</v>
      </c>
      <c r="O32">
        <v>6</v>
      </c>
      <c r="U32" t="s">
        <v>193</v>
      </c>
      <c r="V32" s="8">
        <v>0.51400000000000001</v>
      </c>
      <c r="W32">
        <f t="shared" ref="W32:W43" si="10">V32-Q$15</f>
        <v>0.13850000000000001</v>
      </c>
      <c r="X32">
        <f t="shared" ref="X32:X43" si="11">(W32-0.0495)/1.695</f>
        <v>5.2507374631268443E-2</v>
      </c>
      <c r="Y32">
        <f t="shared" si="3"/>
        <v>0.36755162241887912</v>
      </c>
    </row>
    <row r="33" spans="1:25" x14ac:dyDescent="0.25">
      <c r="A33" s="21" t="s">
        <v>118</v>
      </c>
      <c r="B33" s="22">
        <v>0.36599999999999999</v>
      </c>
      <c r="C33" s="22">
        <v>0.371</v>
      </c>
      <c r="D33" s="23"/>
      <c r="E33" s="58"/>
      <c r="F33" s="58"/>
      <c r="G33" s="58"/>
      <c r="H33" s="58"/>
      <c r="I33" s="58"/>
      <c r="J33" s="58"/>
      <c r="K33" s="58"/>
      <c r="L33" s="58"/>
      <c r="M33" s="23"/>
      <c r="P33">
        <v>0</v>
      </c>
      <c r="Q33">
        <f>AVERAGE(B53:C53)</f>
        <v>0.36099999999999999</v>
      </c>
      <c r="R33">
        <f>Q33-Q$33</f>
        <v>0</v>
      </c>
      <c r="U33" t="s">
        <v>194</v>
      </c>
      <c r="V33" s="8">
        <v>0.55700000000000005</v>
      </c>
      <c r="W33">
        <f t="shared" si="10"/>
        <v>0.18150000000000005</v>
      </c>
      <c r="X33">
        <f t="shared" si="11"/>
        <v>7.7876106194690292E-2</v>
      </c>
      <c r="Y33">
        <f t="shared" si="3"/>
        <v>0.54513274336283202</v>
      </c>
    </row>
    <row r="34" spans="1:25" x14ac:dyDescent="0.25">
      <c r="A34" s="21" t="s">
        <v>120</v>
      </c>
      <c r="B34" s="24">
        <v>0.502</v>
      </c>
      <c r="C34" s="24">
        <v>0.51</v>
      </c>
      <c r="D34" s="56"/>
      <c r="E34" s="51"/>
      <c r="F34" s="51"/>
      <c r="G34" s="51"/>
      <c r="H34" s="51"/>
      <c r="I34" s="51"/>
      <c r="J34" s="51"/>
      <c r="K34" s="51"/>
      <c r="L34" s="51"/>
      <c r="M34" s="57"/>
      <c r="P34">
        <v>0.05</v>
      </c>
      <c r="Q34">
        <f>AVERAGE(B54:C54)</f>
        <v>0.51600000000000001</v>
      </c>
      <c r="R34">
        <f t="shared" ref="R34:R37" si="12">Q34-Q$33</f>
        <v>0.15500000000000003</v>
      </c>
      <c r="U34" t="s">
        <v>195</v>
      </c>
      <c r="V34" s="8">
        <v>0.51600000000000001</v>
      </c>
      <c r="W34">
        <f t="shared" si="10"/>
        <v>0.14050000000000001</v>
      </c>
      <c r="X34">
        <f t="shared" si="11"/>
        <v>5.3687315634218295E-2</v>
      </c>
      <c r="Y34">
        <f t="shared" si="3"/>
        <v>0.37581120943952806</v>
      </c>
    </row>
    <row r="35" spans="1:25" x14ac:dyDescent="0.25">
      <c r="A35" s="21" t="s">
        <v>76</v>
      </c>
      <c r="B35" s="23"/>
      <c r="C35" s="23"/>
      <c r="D35" s="56"/>
      <c r="E35" s="51"/>
      <c r="F35" s="51"/>
      <c r="G35" s="51"/>
      <c r="H35" s="51"/>
      <c r="I35" s="51"/>
      <c r="J35" s="51"/>
      <c r="K35" s="51"/>
      <c r="L35" s="51"/>
      <c r="M35" s="57"/>
      <c r="P35">
        <v>0.1</v>
      </c>
      <c r="Q35">
        <f>AVERAGE(B56:C56)</f>
        <v>0.62949999999999995</v>
      </c>
      <c r="R35">
        <f t="shared" si="12"/>
        <v>0.26849999999999996</v>
      </c>
      <c r="U35" t="s">
        <v>196</v>
      </c>
      <c r="V35" s="8">
        <v>0.57199999999999995</v>
      </c>
      <c r="W35">
        <f t="shared" si="10"/>
        <v>0.19649999999999995</v>
      </c>
      <c r="X35">
        <f t="shared" si="11"/>
        <v>8.672566371681413E-2</v>
      </c>
      <c r="Y35">
        <f t="shared" si="3"/>
        <v>0.60707964601769893</v>
      </c>
    </row>
    <row r="36" spans="1:25" x14ac:dyDescent="0.25">
      <c r="A36" s="21" t="s">
        <v>121</v>
      </c>
      <c r="B36" s="28">
        <v>0.63300000000000001</v>
      </c>
      <c r="C36" s="29">
        <v>0.623</v>
      </c>
      <c r="D36" s="56"/>
      <c r="E36" s="51"/>
      <c r="F36" s="51"/>
      <c r="G36" s="51"/>
      <c r="H36" s="51"/>
      <c r="I36" s="62"/>
      <c r="J36" s="63">
        <v>0.61499999999999999</v>
      </c>
      <c r="K36" s="64">
        <v>0.65100000000000002</v>
      </c>
      <c r="L36" s="64">
        <v>0.63700000000000001</v>
      </c>
      <c r="M36" s="57"/>
      <c r="P36">
        <v>0.25</v>
      </c>
      <c r="Q36">
        <f>AVERAGE(B58:C58)</f>
        <v>0.89800000000000002</v>
      </c>
      <c r="R36">
        <f t="shared" si="12"/>
        <v>0.53700000000000003</v>
      </c>
      <c r="U36" t="s">
        <v>197</v>
      </c>
      <c r="V36" s="13">
        <v>0.60799999999999998</v>
      </c>
      <c r="W36">
        <f t="shared" si="10"/>
        <v>0.23249999999999998</v>
      </c>
      <c r="X36">
        <f t="shared" si="11"/>
        <v>0.1079646017699115</v>
      </c>
      <c r="Y36">
        <f t="shared" si="3"/>
        <v>0.75575221238938051</v>
      </c>
    </row>
    <row r="37" spans="1:25" x14ac:dyDescent="0.25">
      <c r="A37" s="21" t="s">
        <v>122</v>
      </c>
      <c r="B37" s="23"/>
      <c r="C37" s="23"/>
      <c r="D37" s="23"/>
      <c r="E37" s="59">
        <v>0.56899999999999995</v>
      </c>
      <c r="F37" s="59">
        <v>0.61</v>
      </c>
      <c r="G37" s="60">
        <v>0.69099999999999995</v>
      </c>
      <c r="H37" s="61">
        <v>0.70399999999999996</v>
      </c>
      <c r="I37" s="59">
        <v>0.59799999999999998</v>
      </c>
      <c r="J37" s="59">
        <v>0.58399999999999996</v>
      </c>
      <c r="K37" s="59">
        <v>0.59399999999999997</v>
      </c>
      <c r="L37" s="59">
        <v>0.60399999999999998</v>
      </c>
      <c r="M37" s="23"/>
      <c r="P37">
        <v>0.5</v>
      </c>
      <c r="Q37">
        <f>AVERAGE(B60:C60)</f>
        <v>1.2130000000000001</v>
      </c>
      <c r="R37">
        <f t="shared" si="12"/>
        <v>0.85200000000000009</v>
      </c>
      <c r="U37" t="s">
        <v>198</v>
      </c>
      <c r="V37" s="13">
        <v>0.60199999999999998</v>
      </c>
      <c r="W37">
        <f t="shared" si="10"/>
        <v>0.22649999999999998</v>
      </c>
      <c r="X37">
        <f t="shared" si="11"/>
        <v>0.10442477876106193</v>
      </c>
      <c r="Y37">
        <f t="shared" si="3"/>
        <v>0.73097345132743352</v>
      </c>
    </row>
    <row r="38" spans="1:25" x14ac:dyDescent="0.25">
      <c r="A38" s="21" t="s">
        <v>123</v>
      </c>
      <c r="B38" s="30">
        <v>0.90200000000000002</v>
      </c>
      <c r="C38" s="30">
        <v>0.89900000000000002</v>
      </c>
      <c r="D38" s="23"/>
      <c r="E38" s="28">
        <v>0.63800000000000001</v>
      </c>
      <c r="F38" s="28">
        <v>0.63400000000000001</v>
      </c>
      <c r="G38" s="23"/>
      <c r="H38" s="23"/>
      <c r="I38" s="23"/>
      <c r="J38" s="23"/>
      <c r="K38" s="23"/>
      <c r="L38" s="23"/>
      <c r="M38" s="23"/>
      <c r="U38" t="s">
        <v>199</v>
      </c>
      <c r="V38" s="8">
        <v>0.52700000000000002</v>
      </c>
      <c r="W38">
        <f t="shared" si="10"/>
        <v>0.15150000000000002</v>
      </c>
      <c r="X38">
        <f t="shared" si="11"/>
        <v>6.0176991150442491E-2</v>
      </c>
      <c r="Y38">
        <f t="shared" si="3"/>
        <v>0.42123893805309742</v>
      </c>
    </row>
    <row r="39" spans="1:25" x14ac:dyDescent="0.25">
      <c r="A39" s="21" t="s">
        <v>124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U39" t="s">
        <v>200</v>
      </c>
      <c r="V39" s="8">
        <v>0.54</v>
      </c>
      <c r="W39">
        <f t="shared" si="10"/>
        <v>0.16450000000000004</v>
      </c>
      <c r="X39">
        <f t="shared" si="11"/>
        <v>6.7846607669616532E-2</v>
      </c>
      <c r="Y39">
        <f t="shared" si="3"/>
        <v>0.47492625368731572</v>
      </c>
    </row>
    <row r="40" spans="1:25" x14ac:dyDescent="0.25">
      <c r="A40" s="21" t="s">
        <v>125</v>
      </c>
      <c r="B40" s="31">
        <v>1.258</v>
      </c>
      <c r="C40" s="31">
        <v>1.294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U40" t="s">
        <v>201</v>
      </c>
      <c r="V40" s="8">
        <v>0.54900000000000004</v>
      </c>
      <c r="W40">
        <f t="shared" si="10"/>
        <v>0.17350000000000004</v>
      </c>
      <c r="X40">
        <f t="shared" si="11"/>
        <v>7.3156342182890882E-2</v>
      </c>
      <c r="Y40">
        <f t="shared" si="3"/>
        <v>0.51209439528023615</v>
      </c>
    </row>
    <row r="41" spans="1:25" x14ac:dyDescent="0.25">
      <c r="U41" t="s">
        <v>202</v>
      </c>
      <c r="V41" s="8">
        <v>0.56399999999999995</v>
      </c>
      <c r="W41">
        <f t="shared" si="10"/>
        <v>0.18849999999999995</v>
      </c>
      <c r="X41">
        <f t="shared" si="11"/>
        <v>8.200589970501472E-2</v>
      </c>
      <c r="Y41">
        <f t="shared" si="3"/>
        <v>0.57404129793510306</v>
      </c>
    </row>
    <row r="42" spans="1:25" x14ac:dyDescent="0.25">
      <c r="A42" s="32"/>
      <c r="B42" s="33">
        <v>1</v>
      </c>
      <c r="C42" s="33">
        <v>2</v>
      </c>
      <c r="D42" s="33">
        <v>3</v>
      </c>
      <c r="E42" s="33">
        <v>4</v>
      </c>
      <c r="F42" s="33">
        <v>5</v>
      </c>
      <c r="G42" s="33">
        <v>6</v>
      </c>
      <c r="H42" s="33">
        <v>7</v>
      </c>
      <c r="I42" s="33">
        <v>8</v>
      </c>
      <c r="J42" s="33">
        <v>9</v>
      </c>
      <c r="K42" s="33">
        <v>10</v>
      </c>
      <c r="L42" s="33">
        <v>11</v>
      </c>
      <c r="M42" s="33">
        <v>12</v>
      </c>
      <c r="U42" t="s">
        <v>203</v>
      </c>
      <c r="V42" s="13">
        <v>0.59899999999999998</v>
      </c>
      <c r="W42">
        <f t="shared" si="10"/>
        <v>0.22349999999999998</v>
      </c>
      <c r="X42">
        <f t="shared" si="11"/>
        <v>0.10265486725663715</v>
      </c>
      <c r="Y42">
        <f t="shared" si="3"/>
        <v>0.71858407079646003</v>
      </c>
    </row>
    <row r="43" spans="1:25" x14ac:dyDescent="0.25">
      <c r="A43" s="33" t="s">
        <v>118</v>
      </c>
      <c r="B43" s="34">
        <v>0.33500000000000002</v>
      </c>
      <c r="C43" s="34">
        <v>0.34</v>
      </c>
      <c r="D43" s="35"/>
      <c r="E43" s="69"/>
      <c r="F43" s="69"/>
      <c r="G43" s="69"/>
      <c r="H43" s="69"/>
      <c r="I43" s="69"/>
      <c r="J43" s="69"/>
      <c r="K43" s="69"/>
      <c r="L43" s="69"/>
      <c r="M43" s="35"/>
      <c r="U43" t="s">
        <v>204</v>
      </c>
      <c r="V43" s="13">
        <v>0.59</v>
      </c>
      <c r="W43">
        <f t="shared" si="10"/>
        <v>0.21449999999999997</v>
      </c>
      <c r="X43">
        <f t="shared" si="11"/>
        <v>9.7345132743362817E-2</v>
      </c>
      <c r="Y43">
        <f t="shared" si="3"/>
        <v>0.68141592920353977</v>
      </c>
    </row>
    <row r="44" spans="1:25" x14ac:dyDescent="0.25">
      <c r="A44" s="33" t="s">
        <v>120</v>
      </c>
      <c r="B44" s="36">
        <v>0.49399999999999999</v>
      </c>
      <c r="C44" s="36">
        <v>0.49399999999999999</v>
      </c>
      <c r="D44" s="65"/>
      <c r="E44" s="51"/>
      <c r="F44" s="51"/>
      <c r="G44" s="51"/>
      <c r="H44" s="51"/>
      <c r="I44" s="51"/>
      <c r="J44" s="51"/>
      <c r="K44" s="51"/>
      <c r="L44" s="51"/>
      <c r="M44" s="67"/>
      <c r="T44">
        <v>4</v>
      </c>
      <c r="U44" t="s">
        <v>0</v>
      </c>
      <c r="V44" t="s">
        <v>221</v>
      </c>
      <c r="W44" t="s">
        <v>222</v>
      </c>
      <c r="X44" t="s">
        <v>223</v>
      </c>
      <c r="Y44" t="s">
        <v>224</v>
      </c>
    </row>
    <row r="45" spans="1:25" x14ac:dyDescent="0.25">
      <c r="A45" s="33" t="s">
        <v>76</v>
      </c>
      <c r="B45" s="35"/>
      <c r="C45" s="35"/>
      <c r="D45" s="65"/>
      <c r="E45" s="51"/>
      <c r="F45" s="51"/>
      <c r="G45" s="51"/>
      <c r="H45" s="51"/>
      <c r="I45" s="51"/>
      <c r="J45" s="51"/>
      <c r="K45" s="51"/>
      <c r="L45" s="51"/>
      <c r="M45" s="67"/>
      <c r="U45" t="s">
        <v>192</v>
      </c>
      <c r="V45" s="63">
        <v>0.61499999999999999</v>
      </c>
      <c r="W45">
        <f>V45-Q$21</f>
        <v>0.2465</v>
      </c>
      <c r="X45">
        <f>(W45-0.0482)/1.773</f>
        <v>0.11184433164128596</v>
      </c>
      <c r="Y45">
        <f t="shared" si="3"/>
        <v>0.78291032148900175</v>
      </c>
    </row>
    <row r="46" spans="1:25" x14ac:dyDescent="0.25">
      <c r="A46" s="33" t="s">
        <v>121</v>
      </c>
      <c r="B46" s="42">
        <v>0.60199999999999998</v>
      </c>
      <c r="C46" s="42">
        <v>0.59699999999999998</v>
      </c>
      <c r="D46" s="65"/>
      <c r="E46" s="51"/>
      <c r="F46" s="51"/>
      <c r="G46" s="51"/>
      <c r="H46" s="51"/>
      <c r="I46" s="72"/>
      <c r="J46" s="73">
        <v>0.626</v>
      </c>
      <c r="K46" s="74">
        <v>0.65500000000000003</v>
      </c>
      <c r="L46" s="73">
        <v>0.63400000000000001</v>
      </c>
      <c r="M46" s="67"/>
      <c r="U46" t="s">
        <v>193</v>
      </c>
      <c r="V46" s="64">
        <v>0.65100000000000002</v>
      </c>
      <c r="W46">
        <f t="shared" ref="W46:W57" si="13">V46-Q$21</f>
        <v>0.28250000000000003</v>
      </c>
      <c r="X46">
        <f t="shared" ref="X46:X57" si="14">(W46-0.0482)/1.773</f>
        <v>0.13214890016920477</v>
      </c>
      <c r="Y46">
        <f t="shared" si="3"/>
        <v>0.92504230118443342</v>
      </c>
    </row>
    <row r="47" spans="1:25" x14ac:dyDescent="0.25">
      <c r="A47" s="33" t="s">
        <v>122</v>
      </c>
      <c r="B47" s="35"/>
      <c r="C47" s="35"/>
      <c r="D47" s="65"/>
      <c r="E47" s="75">
        <v>0.55700000000000005</v>
      </c>
      <c r="F47" s="73">
        <v>0.60399999999999998</v>
      </c>
      <c r="G47" s="74">
        <v>0.69599999999999995</v>
      </c>
      <c r="H47" s="74">
        <v>0.67100000000000004</v>
      </c>
      <c r="I47" s="73">
        <v>0.60899999999999999</v>
      </c>
      <c r="J47" s="73">
        <v>0.58599999999999997</v>
      </c>
      <c r="K47" s="73">
        <v>0.59599999999999997</v>
      </c>
      <c r="L47" s="73">
        <v>0.623</v>
      </c>
      <c r="M47" s="67"/>
      <c r="U47" t="s">
        <v>194</v>
      </c>
      <c r="V47" s="64">
        <v>0.63700000000000001</v>
      </c>
      <c r="W47">
        <f t="shared" si="13"/>
        <v>0.26850000000000002</v>
      </c>
      <c r="X47">
        <f t="shared" si="14"/>
        <v>0.12425267907501412</v>
      </c>
      <c r="Y47">
        <f t="shared" si="3"/>
        <v>0.86976875352509886</v>
      </c>
    </row>
    <row r="48" spans="1:25" x14ac:dyDescent="0.25">
      <c r="A48" s="33" t="s">
        <v>123</v>
      </c>
      <c r="B48" s="38">
        <v>0.876</v>
      </c>
      <c r="C48" s="38">
        <v>0.85</v>
      </c>
      <c r="D48" s="65"/>
      <c r="E48" s="74">
        <v>0.64500000000000002</v>
      </c>
      <c r="F48" s="73">
        <v>0.61</v>
      </c>
      <c r="G48" s="72"/>
      <c r="H48" s="72"/>
      <c r="I48" s="72"/>
      <c r="J48" s="72"/>
      <c r="K48" s="72"/>
      <c r="L48" s="72"/>
      <c r="M48" s="67"/>
      <c r="U48" t="s">
        <v>195</v>
      </c>
      <c r="V48" s="59">
        <v>0.56899999999999995</v>
      </c>
      <c r="W48">
        <f t="shared" si="13"/>
        <v>0.20049999999999996</v>
      </c>
      <c r="X48">
        <f t="shared" si="14"/>
        <v>8.589960518894528E-2</v>
      </c>
      <c r="Y48">
        <f t="shared" si="3"/>
        <v>0.601297236322617</v>
      </c>
    </row>
    <row r="49" spans="1:25" x14ac:dyDescent="0.25">
      <c r="A49" s="33" t="s">
        <v>124</v>
      </c>
      <c r="B49" s="35"/>
      <c r="C49" s="35"/>
      <c r="D49" s="65"/>
      <c r="E49" s="72"/>
      <c r="F49" s="72"/>
      <c r="G49" s="72"/>
      <c r="H49" s="72"/>
      <c r="I49" s="72"/>
      <c r="J49" s="72"/>
      <c r="K49" s="72"/>
      <c r="L49" s="72"/>
      <c r="M49" s="67"/>
      <c r="U49" t="s">
        <v>196</v>
      </c>
      <c r="V49" s="59">
        <v>0.61</v>
      </c>
      <c r="W49">
        <f t="shared" si="13"/>
        <v>0.24149999999999999</v>
      </c>
      <c r="X49">
        <f t="shared" si="14"/>
        <v>0.10902425267907502</v>
      </c>
      <c r="Y49">
        <f t="shared" si="3"/>
        <v>0.76316976875352516</v>
      </c>
    </row>
    <row r="50" spans="1:25" x14ac:dyDescent="0.25">
      <c r="A50" s="33" t="s">
        <v>125</v>
      </c>
      <c r="B50" s="43">
        <v>1.198</v>
      </c>
      <c r="C50" s="43">
        <v>1.1890000000000001</v>
      </c>
      <c r="D50" s="65"/>
      <c r="E50" s="72"/>
      <c r="F50" s="72"/>
      <c r="G50" s="72"/>
      <c r="H50" s="72"/>
      <c r="I50" s="72"/>
      <c r="J50" s="72"/>
      <c r="K50" s="72"/>
      <c r="L50" s="72"/>
      <c r="M50" s="67"/>
      <c r="U50" t="s">
        <v>197</v>
      </c>
      <c r="V50" s="60">
        <v>0.69099999999999995</v>
      </c>
      <c r="W50">
        <f t="shared" si="13"/>
        <v>0.32249999999999995</v>
      </c>
      <c r="X50">
        <f t="shared" si="14"/>
        <v>0.15470953186689224</v>
      </c>
      <c r="Y50">
        <f t="shared" si="3"/>
        <v>1.0829667230682456</v>
      </c>
    </row>
    <row r="51" spans="1:25" x14ac:dyDescent="0.25">
      <c r="U51" t="s">
        <v>198</v>
      </c>
      <c r="V51" s="61">
        <v>0.70399999999999996</v>
      </c>
      <c r="W51">
        <f t="shared" si="13"/>
        <v>0.33549999999999996</v>
      </c>
      <c r="X51">
        <f t="shared" si="14"/>
        <v>0.1620417371686407</v>
      </c>
      <c r="Y51">
        <f t="shared" si="3"/>
        <v>1.134292160180485</v>
      </c>
    </row>
    <row r="52" spans="1:25" x14ac:dyDescent="0.25">
      <c r="A52" s="32"/>
      <c r="B52" s="33">
        <v>1</v>
      </c>
      <c r="C52" s="33">
        <v>2</v>
      </c>
      <c r="D52" s="66">
        <v>3</v>
      </c>
      <c r="E52" s="76">
        <v>4</v>
      </c>
      <c r="F52" s="76">
        <v>5</v>
      </c>
      <c r="G52" s="76">
        <v>6</v>
      </c>
      <c r="H52" s="76">
        <v>7</v>
      </c>
      <c r="I52" s="76">
        <v>8</v>
      </c>
      <c r="J52" s="76">
        <v>9</v>
      </c>
      <c r="K52" s="76">
        <v>10</v>
      </c>
      <c r="L52" s="76">
        <v>11</v>
      </c>
      <c r="M52" s="68">
        <v>12</v>
      </c>
      <c r="U52" t="s">
        <v>199</v>
      </c>
      <c r="V52" s="59">
        <v>0.59799999999999998</v>
      </c>
      <c r="W52">
        <f t="shared" si="13"/>
        <v>0.22949999999999998</v>
      </c>
      <c r="X52">
        <f t="shared" si="14"/>
        <v>0.10225606316976875</v>
      </c>
      <c r="Y52">
        <f t="shared" si="3"/>
        <v>0.71579244218838123</v>
      </c>
    </row>
    <row r="53" spans="1:25" x14ac:dyDescent="0.25">
      <c r="A53" s="33" t="s">
        <v>118</v>
      </c>
      <c r="B53" s="34">
        <v>0.372</v>
      </c>
      <c r="C53" s="34">
        <v>0.35</v>
      </c>
      <c r="D53" s="65"/>
      <c r="E53" s="72"/>
      <c r="F53" s="72"/>
      <c r="G53" s="72"/>
      <c r="H53" s="72"/>
      <c r="I53" s="72"/>
      <c r="J53" s="72"/>
      <c r="K53" s="72"/>
      <c r="L53" s="72"/>
      <c r="M53" s="67"/>
      <c r="U53" t="s">
        <v>200</v>
      </c>
      <c r="V53" s="59">
        <v>0.58399999999999996</v>
      </c>
      <c r="W53">
        <f t="shared" si="13"/>
        <v>0.21549999999999997</v>
      </c>
      <c r="X53">
        <f t="shared" si="14"/>
        <v>9.4359842075578113E-2</v>
      </c>
      <c r="Y53">
        <f t="shared" si="3"/>
        <v>0.66051889452904677</v>
      </c>
    </row>
    <row r="54" spans="1:25" x14ac:dyDescent="0.25">
      <c r="A54" s="33" t="s">
        <v>120</v>
      </c>
      <c r="B54" s="36">
        <v>0.51100000000000001</v>
      </c>
      <c r="C54" s="36">
        <v>0.52100000000000002</v>
      </c>
      <c r="D54" s="65"/>
      <c r="E54" s="51"/>
      <c r="F54" s="51"/>
      <c r="G54" s="51"/>
      <c r="H54" s="51"/>
      <c r="I54" s="51"/>
      <c r="J54" s="51"/>
      <c r="K54" s="51"/>
      <c r="L54" s="51"/>
      <c r="M54" s="67"/>
      <c r="U54" t="s">
        <v>201</v>
      </c>
      <c r="V54" s="59">
        <v>0.59399999999999997</v>
      </c>
      <c r="W54">
        <f t="shared" si="13"/>
        <v>0.22549999999999998</v>
      </c>
      <c r="X54">
        <f t="shared" si="14"/>
        <v>9.9999999999999992E-2</v>
      </c>
      <c r="Y54">
        <f t="shared" si="3"/>
        <v>0.7</v>
      </c>
    </row>
    <row r="55" spans="1:25" x14ac:dyDescent="0.25">
      <c r="A55" s="33" t="s">
        <v>76</v>
      </c>
      <c r="B55" s="35"/>
      <c r="C55" s="35"/>
      <c r="D55" s="65"/>
      <c r="E55" s="51"/>
      <c r="F55" s="51"/>
      <c r="G55" s="51"/>
      <c r="H55" s="51"/>
      <c r="I55" s="51"/>
      <c r="J55" s="51"/>
      <c r="K55" s="51"/>
      <c r="L55" s="51"/>
      <c r="M55" s="67"/>
      <c r="U55" t="s">
        <v>202</v>
      </c>
      <c r="V55" s="59">
        <v>0.60399999999999998</v>
      </c>
      <c r="W55">
        <f t="shared" si="13"/>
        <v>0.23549999999999999</v>
      </c>
      <c r="X55">
        <f t="shared" si="14"/>
        <v>0.10564015792442188</v>
      </c>
      <c r="Y55">
        <f t="shared" si="3"/>
        <v>0.73948110547095314</v>
      </c>
    </row>
    <row r="56" spans="1:25" x14ac:dyDescent="0.25">
      <c r="A56" s="33" t="s">
        <v>121</v>
      </c>
      <c r="B56" s="42">
        <v>0.63300000000000001</v>
      </c>
      <c r="C56" s="42">
        <v>0.626</v>
      </c>
      <c r="D56" s="65"/>
      <c r="E56" s="51"/>
      <c r="F56" s="51"/>
      <c r="G56" s="51"/>
      <c r="H56" s="51"/>
      <c r="I56" s="72"/>
      <c r="J56" s="73">
        <v>0.64500000000000002</v>
      </c>
      <c r="K56" s="73">
        <v>0.66300000000000003</v>
      </c>
      <c r="L56" s="73">
        <v>0.66200000000000003</v>
      </c>
      <c r="M56" s="67"/>
      <c r="U56" t="s">
        <v>203</v>
      </c>
      <c r="V56" s="28">
        <v>0.63800000000000001</v>
      </c>
      <c r="W56">
        <f t="shared" si="13"/>
        <v>0.26950000000000002</v>
      </c>
      <c r="X56">
        <f t="shared" si="14"/>
        <v>0.12481669486745631</v>
      </c>
      <c r="Y56">
        <f t="shared" si="3"/>
        <v>0.87371686407219418</v>
      </c>
    </row>
    <row r="57" spans="1:25" x14ac:dyDescent="0.25">
      <c r="A57" s="33" t="s">
        <v>122</v>
      </c>
      <c r="B57" s="35"/>
      <c r="C57" s="35"/>
      <c r="D57" s="65"/>
      <c r="E57" s="75">
        <v>0.56499999999999995</v>
      </c>
      <c r="F57" s="73">
        <v>0.64600000000000002</v>
      </c>
      <c r="G57" s="74">
        <v>0.70199999999999996</v>
      </c>
      <c r="H57" s="73">
        <v>0.63300000000000001</v>
      </c>
      <c r="I57" s="75">
        <v>0.58299999999999996</v>
      </c>
      <c r="J57" s="73">
        <v>0.61399999999999999</v>
      </c>
      <c r="K57" s="75">
        <v>0.57599999999999996</v>
      </c>
      <c r="L57" s="73">
        <v>0.624</v>
      </c>
      <c r="M57" s="67"/>
      <c r="U57" t="s">
        <v>204</v>
      </c>
      <c r="V57" s="28">
        <v>0.63400000000000001</v>
      </c>
      <c r="W57">
        <f t="shared" si="13"/>
        <v>0.26550000000000001</v>
      </c>
      <c r="X57">
        <f t="shared" si="14"/>
        <v>0.12256063169768755</v>
      </c>
      <c r="Y57">
        <f t="shared" si="3"/>
        <v>0.8579244218838129</v>
      </c>
    </row>
    <row r="58" spans="1:25" x14ac:dyDescent="0.25">
      <c r="A58" s="33" t="s">
        <v>123</v>
      </c>
      <c r="B58" s="38">
        <v>0.89800000000000002</v>
      </c>
      <c r="C58" s="38">
        <v>0.89800000000000002</v>
      </c>
      <c r="D58" s="35"/>
      <c r="E58" s="70">
        <v>0.65900000000000003</v>
      </c>
      <c r="F58" s="70">
        <v>0.64</v>
      </c>
      <c r="G58" s="71"/>
      <c r="H58" s="71"/>
      <c r="I58" s="71"/>
      <c r="J58" s="71"/>
      <c r="K58" s="71"/>
      <c r="L58" s="71"/>
      <c r="M58" s="35"/>
      <c r="T58">
        <v>5</v>
      </c>
      <c r="U58" t="s">
        <v>0</v>
      </c>
      <c r="V58" t="s">
        <v>221</v>
      </c>
      <c r="W58" t="s">
        <v>222</v>
      </c>
      <c r="X58" t="s">
        <v>223</v>
      </c>
      <c r="Y58" t="s">
        <v>224</v>
      </c>
    </row>
    <row r="59" spans="1:25" x14ac:dyDescent="0.25">
      <c r="A59" s="33" t="s">
        <v>124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U59" t="s">
        <v>192</v>
      </c>
      <c r="V59" s="73">
        <v>0.626</v>
      </c>
      <c r="W59">
        <f>V59-Q$27</f>
        <v>0.28849999999999998</v>
      </c>
      <c r="X59">
        <f>(W59-0.0625)/1.6528</f>
        <v>0.13673765730880927</v>
      </c>
      <c r="Y59">
        <f t="shared" si="3"/>
        <v>0.95716360116166488</v>
      </c>
    </row>
    <row r="60" spans="1:25" x14ac:dyDescent="0.25">
      <c r="A60" s="33" t="s">
        <v>125</v>
      </c>
      <c r="B60" s="43">
        <v>1.2649999999999999</v>
      </c>
      <c r="C60" s="44">
        <v>1.161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U60" t="s">
        <v>193</v>
      </c>
      <c r="V60" s="74">
        <v>0.65500000000000003</v>
      </c>
      <c r="W60">
        <f t="shared" ref="W60:W71" si="15">V60-Q$27</f>
        <v>0.3175</v>
      </c>
      <c r="X60">
        <f t="shared" ref="X60:X71" si="16">(W60-0.0625)/1.6528</f>
        <v>0.15428363988383351</v>
      </c>
      <c r="Y60">
        <f t="shared" si="3"/>
        <v>1.0799854791868346</v>
      </c>
    </row>
    <row r="61" spans="1:25" x14ac:dyDescent="0.25">
      <c r="U61" t="s">
        <v>194</v>
      </c>
      <c r="V61" s="73">
        <v>0.63400000000000001</v>
      </c>
      <c r="W61">
        <f t="shared" si="15"/>
        <v>0.29649999999999999</v>
      </c>
      <c r="X61">
        <f t="shared" si="16"/>
        <v>0.14157792836398836</v>
      </c>
      <c r="Y61">
        <f t="shared" si="3"/>
        <v>0.99104549854791846</v>
      </c>
    </row>
    <row r="62" spans="1:25" x14ac:dyDescent="0.25">
      <c r="U62" t="s">
        <v>195</v>
      </c>
      <c r="V62" s="75">
        <v>0.55700000000000005</v>
      </c>
      <c r="W62">
        <f t="shared" si="15"/>
        <v>0.21950000000000003</v>
      </c>
      <c r="X62">
        <f t="shared" si="16"/>
        <v>9.499031945788966E-2</v>
      </c>
      <c r="Y62">
        <f t="shared" si="3"/>
        <v>0.66493223620522768</v>
      </c>
    </row>
    <row r="63" spans="1:25" x14ac:dyDescent="0.25">
      <c r="U63" t="s">
        <v>196</v>
      </c>
      <c r="V63" s="73">
        <v>0.60399999999999998</v>
      </c>
      <c r="W63">
        <f t="shared" si="15"/>
        <v>0.26649999999999996</v>
      </c>
      <c r="X63">
        <f t="shared" si="16"/>
        <v>0.12342691190706677</v>
      </c>
      <c r="Y63">
        <f t="shared" si="3"/>
        <v>0.86398838334946737</v>
      </c>
    </row>
    <row r="64" spans="1:25" x14ac:dyDescent="0.25">
      <c r="A64">
        <v>1</v>
      </c>
      <c r="J64">
        <v>2</v>
      </c>
      <c r="U64" t="s">
        <v>197</v>
      </c>
      <c r="V64" s="74">
        <v>0.69599999999999995</v>
      </c>
      <c r="W64">
        <f t="shared" si="15"/>
        <v>0.35849999999999993</v>
      </c>
      <c r="X64">
        <f t="shared" si="16"/>
        <v>0.17909002904162627</v>
      </c>
      <c r="Y64">
        <f t="shared" si="3"/>
        <v>1.253630203291384</v>
      </c>
    </row>
    <row r="65" spans="20:25" x14ac:dyDescent="0.25">
      <c r="U65" t="s">
        <v>198</v>
      </c>
      <c r="V65" s="74">
        <v>0.67100000000000004</v>
      </c>
      <c r="W65">
        <f t="shared" si="15"/>
        <v>0.33350000000000002</v>
      </c>
      <c r="X65">
        <f t="shared" si="16"/>
        <v>0.16396418199419169</v>
      </c>
      <c r="Y65">
        <f t="shared" si="3"/>
        <v>1.1477492739593418</v>
      </c>
    </row>
    <row r="66" spans="20:25" x14ac:dyDescent="0.25">
      <c r="U66" t="s">
        <v>199</v>
      </c>
      <c r="V66" s="73">
        <v>0.60899999999999999</v>
      </c>
      <c r="W66">
        <f t="shared" si="15"/>
        <v>0.27149999999999996</v>
      </c>
      <c r="X66">
        <f t="shared" si="16"/>
        <v>0.12645208131655369</v>
      </c>
      <c r="Y66">
        <f t="shared" si="3"/>
        <v>0.88516456921587583</v>
      </c>
    </row>
    <row r="67" spans="20:25" x14ac:dyDescent="0.25">
      <c r="U67" t="s">
        <v>200</v>
      </c>
      <c r="V67" s="73">
        <v>0.58599999999999997</v>
      </c>
      <c r="W67">
        <f t="shared" si="15"/>
        <v>0.24849999999999994</v>
      </c>
      <c r="X67">
        <f t="shared" si="16"/>
        <v>0.1125363020329138</v>
      </c>
      <c r="Y67">
        <f t="shared" si="3"/>
        <v>0.78775411423039665</v>
      </c>
    </row>
    <row r="68" spans="20:25" x14ac:dyDescent="0.25">
      <c r="U68" t="s">
        <v>201</v>
      </c>
      <c r="V68" s="73">
        <v>0.59599999999999997</v>
      </c>
      <c r="W68">
        <f t="shared" si="15"/>
        <v>0.25849999999999995</v>
      </c>
      <c r="X68">
        <f t="shared" si="16"/>
        <v>0.11858664085188768</v>
      </c>
      <c r="Y68">
        <f t="shared" ref="Y68:Y85" si="17">7*X68</f>
        <v>0.83010648596321379</v>
      </c>
    </row>
    <row r="69" spans="20:25" x14ac:dyDescent="0.25">
      <c r="U69" t="s">
        <v>202</v>
      </c>
      <c r="V69" s="73">
        <v>0.623</v>
      </c>
      <c r="W69">
        <f t="shared" si="15"/>
        <v>0.28549999999999998</v>
      </c>
      <c r="X69">
        <f t="shared" si="16"/>
        <v>0.13492255566311712</v>
      </c>
      <c r="Y69">
        <f t="shared" si="17"/>
        <v>0.94445788964181987</v>
      </c>
    </row>
    <row r="70" spans="20:25" x14ac:dyDescent="0.25">
      <c r="U70" t="s">
        <v>203</v>
      </c>
      <c r="V70" s="74">
        <v>0.64500000000000002</v>
      </c>
      <c r="W70">
        <f t="shared" si="15"/>
        <v>0.3075</v>
      </c>
      <c r="X70">
        <f t="shared" si="16"/>
        <v>0.14823330106485963</v>
      </c>
      <c r="Y70">
        <f t="shared" si="17"/>
        <v>1.0376331074540175</v>
      </c>
    </row>
    <row r="71" spans="20:25" x14ac:dyDescent="0.25">
      <c r="U71" t="s">
        <v>204</v>
      </c>
      <c r="V71" s="73">
        <v>0.61</v>
      </c>
      <c r="W71">
        <f t="shared" si="15"/>
        <v>0.27249999999999996</v>
      </c>
      <c r="X71">
        <f t="shared" si="16"/>
        <v>0.12705711519845109</v>
      </c>
      <c r="Y71">
        <f t="shared" si="17"/>
        <v>0.88939980638915761</v>
      </c>
    </row>
    <row r="72" spans="20:25" x14ac:dyDescent="0.25">
      <c r="T72">
        <v>6</v>
      </c>
      <c r="U72" t="s">
        <v>0</v>
      </c>
      <c r="V72" t="s">
        <v>221</v>
      </c>
      <c r="W72" t="s">
        <v>222</v>
      </c>
      <c r="X72" t="s">
        <v>223</v>
      </c>
      <c r="Y72" t="s">
        <v>224</v>
      </c>
    </row>
    <row r="73" spans="20:25" x14ac:dyDescent="0.25">
      <c r="U73" t="s">
        <v>192</v>
      </c>
      <c r="V73" s="73">
        <v>0.64500000000000002</v>
      </c>
      <c r="W73">
        <f>V73-Q$33</f>
        <v>0.28400000000000003</v>
      </c>
      <c r="X73">
        <f>(W73-0.0659)/1.6479</f>
        <v>0.13235026397232844</v>
      </c>
      <c r="Y73">
        <f t="shared" si="17"/>
        <v>0.92645184780629908</v>
      </c>
    </row>
    <row r="74" spans="20:25" x14ac:dyDescent="0.25">
      <c r="U74" t="s">
        <v>193</v>
      </c>
      <c r="V74" s="73">
        <v>0.66300000000000003</v>
      </c>
      <c r="W74">
        <f t="shared" ref="W74:W85" si="18">V74-Q$33</f>
        <v>0.30200000000000005</v>
      </c>
      <c r="X74">
        <f t="shared" ref="X74:X85" si="19">(W74-0.0659)/1.6479</f>
        <v>0.14327325687238307</v>
      </c>
      <c r="Y74">
        <f t="shared" si="17"/>
        <v>1.0029127981066814</v>
      </c>
    </row>
    <row r="75" spans="20:25" x14ac:dyDescent="0.25">
      <c r="U75" t="s">
        <v>194</v>
      </c>
      <c r="V75" s="73">
        <v>0.66200000000000003</v>
      </c>
      <c r="W75">
        <f t="shared" si="18"/>
        <v>0.30100000000000005</v>
      </c>
      <c r="X75">
        <f t="shared" si="19"/>
        <v>0.14266642393349113</v>
      </c>
      <c r="Y75">
        <f t="shared" si="17"/>
        <v>0.9986649675344379</v>
      </c>
    </row>
    <row r="76" spans="20:25" x14ac:dyDescent="0.25">
      <c r="U76" t="s">
        <v>195</v>
      </c>
      <c r="V76" s="75">
        <v>0.56499999999999995</v>
      </c>
      <c r="W76">
        <f t="shared" si="18"/>
        <v>0.20399999999999996</v>
      </c>
      <c r="X76">
        <f t="shared" si="19"/>
        <v>8.3803628860974547E-2</v>
      </c>
      <c r="Y76">
        <f t="shared" si="17"/>
        <v>0.58662540202682179</v>
      </c>
    </row>
    <row r="77" spans="20:25" x14ac:dyDescent="0.25">
      <c r="U77" t="s">
        <v>196</v>
      </c>
      <c r="V77" s="73">
        <v>0.64600000000000002</v>
      </c>
      <c r="W77">
        <f t="shared" si="18"/>
        <v>0.28500000000000003</v>
      </c>
      <c r="X77">
        <f t="shared" si="19"/>
        <v>0.13295709691122035</v>
      </c>
      <c r="Y77">
        <f t="shared" si="17"/>
        <v>0.93069967837854239</v>
      </c>
    </row>
    <row r="78" spans="20:25" x14ac:dyDescent="0.25">
      <c r="U78" t="s">
        <v>197</v>
      </c>
      <c r="V78" s="74">
        <v>0.70199999999999996</v>
      </c>
      <c r="W78">
        <f t="shared" si="18"/>
        <v>0.34099999999999997</v>
      </c>
      <c r="X78">
        <f t="shared" si="19"/>
        <v>0.16693974148916801</v>
      </c>
      <c r="Y78">
        <f t="shared" si="17"/>
        <v>1.1685781904241761</v>
      </c>
    </row>
    <row r="79" spans="20:25" x14ac:dyDescent="0.25">
      <c r="U79" t="s">
        <v>198</v>
      </c>
      <c r="V79" s="73">
        <v>0.63300000000000001</v>
      </c>
      <c r="W79">
        <f t="shared" si="18"/>
        <v>0.27200000000000002</v>
      </c>
      <c r="X79">
        <f t="shared" si="19"/>
        <v>0.12506826870562535</v>
      </c>
      <c r="Y79">
        <f t="shared" si="17"/>
        <v>0.8754778809393774</v>
      </c>
    </row>
    <row r="80" spans="20:25" x14ac:dyDescent="0.25">
      <c r="U80" t="s">
        <v>199</v>
      </c>
      <c r="V80" s="75">
        <v>0.58299999999999996</v>
      </c>
      <c r="W80">
        <f t="shared" si="18"/>
        <v>0.22199999999999998</v>
      </c>
      <c r="X80">
        <f t="shared" si="19"/>
        <v>9.4726621761029167E-2</v>
      </c>
      <c r="Y80">
        <f t="shared" si="17"/>
        <v>0.66308635232720414</v>
      </c>
    </row>
    <row r="81" spans="1:25" x14ac:dyDescent="0.25">
      <c r="A81">
        <v>3</v>
      </c>
      <c r="J81">
        <v>4</v>
      </c>
      <c r="U81" t="s">
        <v>200</v>
      </c>
      <c r="V81" s="73">
        <v>0.61399999999999999</v>
      </c>
      <c r="W81">
        <f t="shared" si="18"/>
        <v>0.253</v>
      </c>
      <c r="X81">
        <f t="shared" si="19"/>
        <v>0.1135384428666788</v>
      </c>
      <c r="Y81">
        <f t="shared" si="17"/>
        <v>0.79476910006675161</v>
      </c>
    </row>
    <row r="82" spans="1:25" x14ac:dyDescent="0.25">
      <c r="U82" t="s">
        <v>201</v>
      </c>
      <c r="V82" s="75">
        <v>0.57599999999999996</v>
      </c>
      <c r="W82">
        <f t="shared" si="18"/>
        <v>0.21499999999999997</v>
      </c>
      <c r="X82">
        <f t="shared" si="19"/>
        <v>9.0478791188785698E-2</v>
      </c>
      <c r="Y82">
        <f t="shared" si="17"/>
        <v>0.63335153832149993</v>
      </c>
    </row>
    <row r="83" spans="1:25" x14ac:dyDescent="0.25">
      <c r="U83" t="s">
        <v>202</v>
      </c>
      <c r="V83" s="73">
        <v>0.624</v>
      </c>
      <c r="W83">
        <f t="shared" si="18"/>
        <v>0.26300000000000001</v>
      </c>
      <c r="X83">
        <f t="shared" si="19"/>
        <v>0.11960677225559804</v>
      </c>
      <c r="Y83">
        <f t="shared" si="17"/>
        <v>0.83724740578918633</v>
      </c>
    </row>
    <row r="84" spans="1:25" x14ac:dyDescent="0.25">
      <c r="U84" t="s">
        <v>203</v>
      </c>
      <c r="V84" s="70">
        <v>0.65900000000000003</v>
      </c>
      <c r="W84">
        <f t="shared" si="18"/>
        <v>0.29800000000000004</v>
      </c>
      <c r="X84">
        <f t="shared" si="19"/>
        <v>0.14084592511681537</v>
      </c>
      <c r="Y84">
        <f t="shared" si="17"/>
        <v>0.98592147581770762</v>
      </c>
    </row>
    <row r="85" spans="1:25" x14ac:dyDescent="0.25">
      <c r="U85" t="s">
        <v>204</v>
      </c>
      <c r="V85" s="70">
        <v>0.64</v>
      </c>
      <c r="W85">
        <f t="shared" si="18"/>
        <v>0.27900000000000003</v>
      </c>
      <c r="X85">
        <f t="shared" si="19"/>
        <v>0.12931609927786883</v>
      </c>
      <c r="Y85">
        <f t="shared" si="17"/>
        <v>0.90521269494508183</v>
      </c>
    </row>
    <row r="99" spans="1:10" x14ac:dyDescent="0.25">
      <c r="A99">
        <v>5</v>
      </c>
      <c r="J99">
        <v>6</v>
      </c>
    </row>
  </sheetData>
  <mergeCells count="2">
    <mergeCell ref="P1:R1"/>
    <mergeCell ref="U1:X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D422-042E-40F9-9EEA-A08C379305C7}">
  <dimension ref="A1:Y92"/>
  <sheetViews>
    <sheetView tabSelected="1" topLeftCell="G1" workbookViewId="0">
      <selection activeCell="U3" sqref="U3:U14"/>
    </sheetView>
  </sheetViews>
  <sheetFormatPr defaultRowHeight="15" x14ac:dyDescent="0.25"/>
  <cols>
    <col min="17" max="17" width="17.7109375" customWidth="1"/>
    <col min="18" max="18" width="18" customWidth="1"/>
    <col min="22" max="22" width="16.140625" customWidth="1"/>
    <col min="23" max="23" width="21" customWidth="1"/>
    <col min="24" max="24" width="20.42578125" customWidth="1"/>
    <col min="25" max="25" width="23" customWidth="1"/>
  </cols>
  <sheetData>
    <row r="1" spans="1:25" x14ac:dyDescent="0.25">
      <c r="A1">
        <v>1</v>
      </c>
      <c r="P1" s="96" t="s">
        <v>217</v>
      </c>
      <c r="Q1" s="96"/>
      <c r="R1" s="96"/>
      <c r="U1" s="96" t="s">
        <v>218</v>
      </c>
      <c r="V1" s="96"/>
      <c r="W1" s="96"/>
      <c r="X1" s="96"/>
      <c r="Y1" s="96"/>
    </row>
    <row r="2" spans="1:25" x14ac:dyDescent="0.25">
      <c r="A2" s="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O2">
        <v>1</v>
      </c>
      <c r="Q2" t="s">
        <v>219</v>
      </c>
      <c r="R2" t="s">
        <v>220</v>
      </c>
      <c r="T2">
        <v>1</v>
      </c>
      <c r="U2" t="s">
        <v>0</v>
      </c>
      <c r="V2" t="s">
        <v>221</v>
      </c>
      <c r="W2" t="s">
        <v>222</v>
      </c>
      <c r="X2" t="s">
        <v>223</v>
      </c>
      <c r="Y2" t="s">
        <v>224</v>
      </c>
    </row>
    <row r="3" spans="1:25" x14ac:dyDescent="0.25">
      <c r="A3" s="2" t="s">
        <v>118</v>
      </c>
      <c r="B3" s="3">
        <v>0.376</v>
      </c>
      <c r="C3" s="3">
        <v>0.35899999999999999</v>
      </c>
      <c r="D3" s="4"/>
      <c r="E3" s="7">
        <v>0.52400000000000002</v>
      </c>
      <c r="F3" s="7">
        <v>0.53200000000000003</v>
      </c>
      <c r="G3" s="7">
        <v>0.53400000000000003</v>
      </c>
      <c r="H3" s="7">
        <v>0.56499999999999995</v>
      </c>
      <c r="I3" s="7">
        <v>0.52800000000000002</v>
      </c>
      <c r="J3" s="7">
        <v>0.55600000000000005</v>
      </c>
      <c r="K3" s="6">
        <v>0.59099999999999997</v>
      </c>
      <c r="L3" s="6">
        <v>0.58899999999999997</v>
      </c>
      <c r="M3" s="6">
        <v>0.63700000000000001</v>
      </c>
      <c r="P3">
        <v>0</v>
      </c>
      <c r="Q3">
        <f>AVERAGE(B3:C3)</f>
        <v>0.36749999999999999</v>
      </c>
      <c r="R3">
        <f>Q3-Q$3</f>
        <v>0</v>
      </c>
      <c r="U3" t="s">
        <v>205</v>
      </c>
      <c r="V3" s="7">
        <v>0.52400000000000002</v>
      </c>
      <c r="W3">
        <f>V3-Q$3</f>
        <v>0.15650000000000003</v>
      </c>
      <c r="X3">
        <f>(W3-0.0426)/1.9007</f>
        <v>5.9925290682380186E-2</v>
      </c>
      <c r="Y3">
        <f>X3*7</f>
        <v>0.41947703477666132</v>
      </c>
    </row>
    <row r="4" spans="1:25" x14ac:dyDescent="0.25">
      <c r="A4" s="2" t="s">
        <v>120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P4">
        <v>0.05</v>
      </c>
      <c r="Q4">
        <f>AVERAGE(E9:E10)</f>
        <v>0.434</v>
      </c>
      <c r="R4">
        <f t="shared" ref="R4:R7" si="0">Q4-Q$3</f>
        <v>6.6500000000000004E-2</v>
      </c>
      <c r="U4" t="s">
        <v>206</v>
      </c>
      <c r="V4" s="7">
        <v>0.53200000000000003</v>
      </c>
      <c r="W4">
        <f t="shared" ref="W4:W14" si="1">V4-Q$3</f>
        <v>0.16450000000000004</v>
      </c>
      <c r="X4">
        <f t="shared" ref="X4:X14" si="2">(W4-0.0426)/1.9007</f>
        <v>6.4134266322933675E-2</v>
      </c>
      <c r="Y4">
        <f t="shared" ref="Y4:Y63" si="3">X4*7</f>
        <v>0.44893986426053573</v>
      </c>
    </row>
    <row r="5" spans="1:25" x14ac:dyDescent="0.25">
      <c r="A5" s="2" t="s">
        <v>76</v>
      </c>
      <c r="B5" s="4"/>
      <c r="C5" s="4"/>
      <c r="D5" s="4"/>
      <c r="E5" s="7">
        <v>0.56000000000000005</v>
      </c>
      <c r="F5" s="6">
        <v>0.58799999999999997</v>
      </c>
      <c r="G5" s="5">
        <v>0.65100000000000002</v>
      </c>
      <c r="H5" s="7">
        <v>0.54600000000000004</v>
      </c>
      <c r="I5" s="7">
        <v>0.57299999999999995</v>
      </c>
      <c r="J5" s="4"/>
      <c r="K5" s="5">
        <v>0.66700000000000004</v>
      </c>
      <c r="L5" s="8">
        <v>0.75800000000000001</v>
      </c>
      <c r="M5" s="5">
        <v>0.67200000000000004</v>
      </c>
      <c r="P5">
        <v>0.1</v>
      </c>
      <c r="Q5">
        <f>AVERAGE(F9:F10)</f>
        <v>0.71099999999999997</v>
      </c>
      <c r="R5">
        <f t="shared" si="0"/>
        <v>0.34349999999999997</v>
      </c>
      <c r="U5" t="s">
        <v>207</v>
      </c>
      <c r="V5" s="7">
        <v>0.53400000000000003</v>
      </c>
      <c r="W5">
        <f t="shared" si="1"/>
        <v>0.16650000000000004</v>
      </c>
      <c r="X5">
        <f t="shared" si="2"/>
        <v>6.5186510233072051E-2</v>
      </c>
      <c r="Y5">
        <f t="shared" si="3"/>
        <v>0.45630557163150437</v>
      </c>
    </row>
    <row r="6" spans="1:25" x14ac:dyDescent="0.25">
      <c r="A6" s="2" t="s">
        <v>121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P6">
        <v>0.25</v>
      </c>
      <c r="Q6">
        <f>AVERAGE(G9:G10)</f>
        <v>0.92100000000000004</v>
      </c>
      <c r="R6">
        <f t="shared" si="0"/>
        <v>0.5535000000000001</v>
      </c>
      <c r="U6" t="s">
        <v>208</v>
      </c>
      <c r="V6" s="7">
        <v>0.56499999999999995</v>
      </c>
      <c r="W6">
        <f t="shared" si="1"/>
        <v>0.19749999999999995</v>
      </c>
      <c r="X6">
        <f t="shared" si="2"/>
        <v>8.1496290840216742E-2</v>
      </c>
      <c r="Y6">
        <f t="shared" si="3"/>
        <v>0.57047403588151724</v>
      </c>
    </row>
    <row r="7" spans="1:25" x14ac:dyDescent="0.25">
      <c r="A7" s="2" t="s">
        <v>122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P7">
        <v>0.5</v>
      </c>
      <c r="Q7">
        <f>AVERAGE(H9:H10)</f>
        <v>1.3275000000000001</v>
      </c>
      <c r="R7">
        <f t="shared" si="0"/>
        <v>0.96000000000000019</v>
      </c>
      <c r="U7" t="s">
        <v>209</v>
      </c>
      <c r="V7" s="7">
        <v>0.52800000000000002</v>
      </c>
      <c r="W7">
        <f t="shared" si="1"/>
        <v>0.16050000000000003</v>
      </c>
      <c r="X7">
        <f t="shared" si="2"/>
        <v>6.2029778502656931E-2</v>
      </c>
      <c r="Y7">
        <f t="shared" si="3"/>
        <v>0.43420844951859849</v>
      </c>
    </row>
    <row r="8" spans="1:25" x14ac:dyDescent="0.25">
      <c r="A8" s="2" t="s">
        <v>123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O8">
        <v>3</v>
      </c>
      <c r="U8" t="s">
        <v>210</v>
      </c>
      <c r="V8" s="7">
        <v>0.55600000000000005</v>
      </c>
      <c r="W8">
        <f t="shared" si="1"/>
        <v>0.18850000000000006</v>
      </c>
      <c r="X8">
        <f t="shared" si="2"/>
        <v>7.6761193244594128E-2</v>
      </c>
      <c r="Y8">
        <f t="shared" si="3"/>
        <v>0.53732835271215884</v>
      </c>
    </row>
    <row r="9" spans="1:25" x14ac:dyDescent="0.25">
      <c r="A9" s="2" t="s">
        <v>124</v>
      </c>
      <c r="B9" s="4"/>
      <c r="C9" s="4"/>
      <c r="D9" s="4"/>
      <c r="E9" s="9">
        <v>0.501</v>
      </c>
      <c r="F9" s="8">
        <v>0.72099999999999997</v>
      </c>
      <c r="G9" s="10">
        <v>0.93400000000000005</v>
      </c>
      <c r="H9" s="11">
        <v>1.3560000000000001</v>
      </c>
      <c r="I9" s="4"/>
      <c r="J9" s="4"/>
      <c r="K9" s="4"/>
      <c r="L9" s="4"/>
      <c r="M9" s="4"/>
      <c r="P9">
        <v>0</v>
      </c>
      <c r="Q9">
        <f>AVERAGE(B13:C13)</f>
        <v>0.36149999999999999</v>
      </c>
      <c r="R9">
        <f>Q9-Q$9</f>
        <v>0</v>
      </c>
      <c r="U9" t="s">
        <v>211</v>
      </c>
      <c r="V9" s="6">
        <v>0.59099999999999997</v>
      </c>
      <c r="W9">
        <f t="shared" si="1"/>
        <v>0.22349999999999998</v>
      </c>
      <c r="X9">
        <f t="shared" si="2"/>
        <v>9.5175461672015557E-2</v>
      </c>
      <c r="Y9">
        <f t="shared" si="3"/>
        <v>0.66622823170410894</v>
      </c>
    </row>
    <row r="10" spans="1:25" x14ac:dyDescent="0.25">
      <c r="A10" s="2" t="s">
        <v>125</v>
      </c>
      <c r="B10" s="4"/>
      <c r="C10" s="4"/>
      <c r="D10" s="4"/>
      <c r="E10" s="3">
        <v>0.36699999999999999</v>
      </c>
      <c r="F10" s="5">
        <v>0.70099999999999996</v>
      </c>
      <c r="G10" s="15">
        <v>0.90800000000000003</v>
      </c>
      <c r="H10" s="11">
        <v>1.2989999999999999</v>
      </c>
      <c r="I10" s="4"/>
      <c r="J10" s="4"/>
      <c r="K10" s="4"/>
      <c r="L10" s="4"/>
      <c r="M10" s="4"/>
      <c r="P10">
        <v>0.05</v>
      </c>
      <c r="Q10">
        <f>AVERAGE(E19:E20)</f>
        <v>0.59250000000000003</v>
      </c>
      <c r="R10">
        <f t="shared" ref="R10:R13" si="4">Q10-Q$9</f>
        <v>0.23100000000000004</v>
      </c>
      <c r="U10" t="s">
        <v>212</v>
      </c>
      <c r="V10" s="6">
        <v>0.58899999999999997</v>
      </c>
      <c r="W10">
        <f t="shared" si="1"/>
        <v>0.22149999999999997</v>
      </c>
      <c r="X10">
        <f t="shared" si="2"/>
        <v>9.4123217761877181E-2</v>
      </c>
      <c r="Y10">
        <f t="shared" si="3"/>
        <v>0.6588625243331403</v>
      </c>
    </row>
    <row r="11" spans="1:25" x14ac:dyDescent="0.25">
      <c r="A11">
        <v>3</v>
      </c>
      <c r="P11">
        <v>0.1</v>
      </c>
      <c r="Q11">
        <f>AVERAGE(F19:F20)</f>
        <v>0.71899999999999997</v>
      </c>
      <c r="R11">
        <f t="shared" si="4"/>
        <v>0.35749999999999998</v>
      </c>
      <c r="U11" t="s">
        <v>213</v>
      </c>
      <c r="V11" s="6">
        <v>0.63700000000000001</v>
      </c>
      <c r="W11">
        <f t="shared" si="1"/>
        <v>0.26950000000000002</v>
      </c>
      <c r="X11">
        <f t="shared" si="2"/>
        <v>0.11937707160519809</v>
      </c>
      <c r="Y11">
        <f t="shared" si="3"/>
        <v>0.83563950123638664</v>
      </c>
    </row>
    <row r="12" spans="1:25" x14ac:dyDescent="0.25">
      <c r="A12" s="12"/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P12">
        <v>0.25</v>
      </c>
      <c r="Q12">
        <f>AVERAGE(G19:G20)</f>
        <v>0.94900000000000007</v>
      </c>
      <c r="R12">
        <f t="shared" si="4"/>
        <v>0.58750000000000013</v>
      </c>
      <c r="U12" t="s">
        <v>214</v>
      </c>
      <c r="V12" s="7">
        <v>0.56000000000000005</v>
      </c>
      <c r="W12">
        <f t="shared" si="1"/>
        <v>0.19250000000000006</v>
      </c>
      <c r="X12">
        <f t="shared" si="2"/>
        <v>7.8865681064870866E-2</v>
      </c>
      <c r="Y12">
        <f t="shared" si="3"/>
        <v>0.55205976745409602</v>
      </c>
    </row>
    <row r="13" spans="1:25" x14ac:dyDescent="0.25">
      <c r="A13" s="2" t="s">
        <v>118</v>
      </c>
      <c r="B13" s="3">
        <v>0.36399999999999999</v>
      </c>
      <c r="C13" s="3">
        <v>0.35899999999999999</v>
      </c>
      <c r="D13" s="4"/>
      <c r="E13" s="7">
        <v>0.52600000000000002</v>
      </c>
      <c r="F13" s="7">
        <v>0.52300000000000002</v>
      </c>
      <c r="G13" s="7">
        <v>0.503</v>
      </c>
      <c r="H13" s="7">
        <v>0.55100000000000005</v>
      </c>
      <c r="I13" s="9">
        <v>0.48699999999999999</v>
      </c>
      <c r="J13" s="7">
        <v>0.51400000000000001</v>
      </c>
      <c r="K13" s="6">
        <v>0.60799999999999998</v>
      </c>
      <c r="L13" s="7">
        <v>0.55900000000000005</v>
      </c>
      <c r="M13" s="5">
        <v>0.63700000000000001</v>
      </c>
      <c r="P13">
        <v>0.5</v>
      </c>
      <c r="Q13">
        <f>AVERAGE(H19:H20)</f>
        <v>1.296</v>
      </c>
      <c r="R13">
        <f t="shared" si="4"/>
        <v>0.93450000000000011</v>
      </c>
      <c r="U13" t="s">
        <v>215</v>
      </c>
      <c r="V13" s="6">
        <v>0.58799999999999997</v>
      </c>
      <c r="W13">
        <f t="shared" si="1"/>
        <v>0.22049999999999997</v>
      </c>
      <c r="X13">
        <f t="shared" si="2"/>
        <v>9.3597095806808001E-2</v>
      </c>
      <c r="Y13">
        <f t="shared" si="3"/>
        <v>0.65517967064765603</v>
      </c>
    </row>
    <row r="14" spans="1:25" x14ac:dyDescent="0.25">
      <c r="A14" s="2" t="s">
        <v>120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O14">
        <v>4</v>
      </c>
      <c r="U14" t="s">
        <v>216</v>
      </c>
      <c r="V14" s="5">
        <v>0.65100000000000002</v>
      </c>
      <c r="W14">
        <f t="shared" si="1"/>
        <v>0.28350000000000003</v>
      </c>
      <c r="X14">
        <f t="shared" si="2"/>
        <v>0.12674277897616668</v>
      </c>
      <c r="Y14">
        <f t="shared" si="3"/>
        <v>0.8871994528331667</v>
      </c>
    </row>
    <row r="15" spans="1:25" x14ac:dyDescent="0.25">
      <c r="A15" s="2" t="s">
        <v>76</v>
      </c>
      <c r="B15" s="4"/>
      <c r="C15" s="4"/>
      <c r="D15" s="4"/>
      <c r="E15" s="7">
        <v>0.55400000000000005</v>
      </c>
      <c r="F15" s="6">
        <v>0.58399999999999996</v>
      </c>
      <c r="G15" s="5">
        <v>0.63900000000000001</v>
      </c>
      <c r="H15" s="7">
        <v>0.54500000000000004</v>
      </c>
      <c r="I15" s="7">
        <v>0.55500000000000005</v>
      </c>
      <c r="J15" s="4"/>
      <c r="K15" s="5">
        <v>0.64300000000000002</v>
      </c>
      <c r="L15" s="13">
        <v>0.78300000000000003</v>
      </c>
      <c r="M15" s="5">
        <v>0.69</v>
      </c>
      <c r="P15">
        <v>0</v>
      </c>
      <c r="Q15">
        <f>AVERAGE(B23:C23)</f>
        <v>0.38</v>
      </c>
      <c r="R15">
        <f>Q15-Q$15</f>
        <v>0</v>
      </c>
      <c r="T15">
        <v>3</v>
      </c>
      <c r="U15" t="s">
        <v>0</v>
      </c>
      <c r="V15" t="s">
        <v>221</v>
      </c>
      <c r="W15" t="s">
        <v>222</v>
      </c>
      <c r="X15" t="s">
        <v>223</v>
      </c>
      <c r="Y15" t="s">
        <v>224</v>
      </c>
    </row>
    <row r="16" spans="1:25" x14ac:dyDescent="0.25">
      <c r="A16" s="2" t="s">
        <v>121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P16">
        <v>0.05</v>
      </c>
      <c r="Q16">
        <f>AVERAGE(B24:C24)</f>
        <v>0.53900000000000003</v>
      </c>
      <c r="R16">
        <f t="shared" ref="R16:R19" si="5">Q16-Q$15</f>
        <v>0.15900000000000003</v>
      </c>
      <c r="U16" t="s">
        <v>205</v>
      </c>
      <c r="V16" s="7">
        <v>0.52600000000000002</v>
      </c>
      <c r="W16">
        <f>V16-Q$9</f>
        <v>0.16450000000000004</v>
      </c>
      <c r="X16">
        <f>(W16-0.1112)/1.7272</f>
        <v>3.0859194071329341E-2</v>
      </c>
      <c r="Y16">
        <f t="shared" si="3"/>
        <v>0.21601435849930539</v>
      </c>
    </row>
    <row r="17" spans="1:25" x14ac:dyDescent="0.25">
      <c r="A17" s="2" t="s">
        <v>122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P17">
        <v>0.1</v>
      </c>
      <c r="Q17">
        <f>AVERAGE(B26:C26)</f>
        <v>0.64050000000000007</v>
      </c>
      <c r="R17">
        <f t="shared" si="5"/>
        <v>0.26050000000000006</v>
      </c>
      <c r="U17" t="s">
        <v>206</v>
      </c>
      <c r="V17" s="7">
        <v>0.52300000000000002</v>
      </c>
      <c r="W17">
        <f t="shared" ref="W17:W27" si="6">V17-Q$9</f>
        <v>0.16150000000000003</v>
      </c>
      <c r="X17">
        <f t="shared" ref="X17:X27" si="7">(W17-0.1112)/1.7272</f>
        <v>2.9122278832792982E-2</v>
      </c>
      <c r="Y17">
        <f t="shared" si="3"/>
        <v>0.20385595182955088</v>
      </c>
    </row>
    <row r="18" spans="1:25" x14ac:dyDescent="0.25">
      <c r="A18" s="2" t="s">
        <v>123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P18">
        <v>0.25</v>
      </c>
      <c r="Q18">
        <f>AVERAGE(B28:C28)</f>
        <v>0.86650000000000005</v>
      </c>
      <c r="R18">
        <f t="shared" si="5"/>
        <v>0.48650000000000004</v>
      </c>
      <c r="U18" t="s">
        <v>207</v>
      </c>
      <c r="V18" s="7">
        <v>0.503</v>
      </c>
      <c r="W18">
        <f t="shared" si="6"/>
        <v>0.14150000000000001</v>
      </c>
      <c r="X18">
        <f t="shared" si="7"/>
        <v>1.7542843909217242E-2</v>
      </c>
      <c r="Y18">
        <f t="shared" si="3"/>
        <v>0.12279990736452069</v>
      </c>
    </row>
    <row r="19" spans="1:25" x14ac:dyDescent="0.25">
      <c r="A19" s="2" t="s">
        <v>124</v>
      </c>
      <c r="B19" s="4"/>
      <c r="C19" s="4"/>
      <c r="D19" s="4"/>
      <c r="E19" s="6">
        <v>0.59899999999999998</v>
      </c>
      <c r="F19" s="8">
        <v>0.71299999999999997</v>
      </c>
      <c r="G19" s="10">
        <v>0.93100000000000005</v>
      </c>
      <c r="H19" s="11">
        <v>1.294</v>
      </c>
      <c r="I19" s="4"/>
      <c r="J19" s="4"/>
      <c r="K19" s="4"/>
      <c r="L19" s="4"/>
      <c r="M19" s="4"/>
      <c r="P19">
        <v>0.5</v>
      </c>
      <c r="Q19">
        <f>AVERAGE(B30:C30)</f>
        <v>1.3145</v>
      </c>
      <c r="R19">
        <f t="shared" si="5"/>
        <v>0.9345</v>
      </c>
      <c r="U19" t="s">
        <v>208</v>
      </c>
      <c r="V19" s="7">
        <v>0.55100000000000005</v>
      </c>
      <c r="W19">
        <f t="shared" si="6"/>
        <v>0.18950000000000006</v>
      </c>
      <c r="X19">
        <f t="shared" si="7"/>
        <v>4.5333487725799017E-2</v>
      </c>
      <c r="Y19">
        <f t="shared" si="3"/>
        <v>0.3173344140805931</v>
      </c>
    </row>
    <row r="20" spans="1:25" x14ac:dyDescent="0.25">
      <c r="A20" s="2" t="s">
        <v>125</v>
      </c>
      <c r="B20" s="4"/>
      <c r="C20" s="4"/>
      <c r="D20" s="4"/>
      <c r="E20" s="6">
        <v>0.58599999999999997</v>
      </c>
      <c r="F20" s="8">
        <v>0.72499999999999998</v>
      </c>
      <c r="G20" s="16">
        <v>0.96699999999999997</v>
      </c>
      <c r="H20" s="11">
        <v>1.298</v>
      </c>
      <c r="I20" s="4"/>
      <c r="J20" s="4"/>
      <c r="K20" s="4"/>
      <c r="L20" s="4"/>
      <c r="M20" s="4"/>
      <c r="O20">
        <v>5</v>
      </c>
      <c r="U20" t="s">
        <v>209</v>
      </c>
      <c r="V20" s="9">
        <v>0.48699999999999999</v>
      </c>
      <c r="W20">
        <f t="shared" si="6"/>
        <v>0.1255</v>
      </c>
      <c r="X20">
        <f t="shared" si="7"/>
        <v>8.27929597035665E-3</v>
      </c>
      <c r="Y20">
        <f t="shared" si="3"/>
        <v>5.7955071792496551E-2</v>
      </c>
    </row>
    <row r="21" spans="1:25" x14ac:dyDescent="0.25">
      <c r="A21">
        <v>4</v>
      </c>
      <c r="B21" t="s">
        <v>228</v>
      </c>
      <c r="P21">
        <v>0</v>
      </c>
      <c r="Q21">
        <f>AVERAGE(B33:C33)</f>
        <v>0.38</v>
      </c>
      <c r="R21">
        <f>Q21-Q$21</f>
        <v>0</v>
      </c>
      <c r="U21" t="s">
        <v>210</v>
      </c>
      <c r="V21" s="7">
        <v>0.51400000000000001</v>
      </c>
      <c r="W21">
        <f t="shared" si="6"/>
        <v>0.15250000000000002</v>
      </c>
      <c r="X21">
        <f t="shared" si="7"/>
        <v>2.39115331171839E-2</v>
      </c>
      <c r="Y21">
        <f t="shared" si="3"/>
        <v>0.16738073182028729</v>
      </c>
    </row>
    <row r="22" spans="1:25" x14ac:dyDescent="0.25">
      <c r="A22" s="1"/>
      <c r="B22" s="2">
        <v>1</v>
      </c>
      <c r="C22" s="2">
        <v>2</v>
      </c>
      <c r="D22" s="2">
        <v>3</v>
      </c>
      <c r="E22" s="77">
        <v>4</v>
      </c>
      <c r="F22" s="77">
        <v>5</v>
      </c>
      <c r="G22" s="77">
        <v>6</v>
      </c>
      <c r="H22" s="77">
        <v>7</v>
      </c>
      <c r="I22" s="77">
        <v>8</v>
      </c>
      <c r="J22" s="77">
        <v>9</v>
      </c>
      <c r="K22" s="77">
        <v>10</v>
      </c>
      <c r="L22" s="77">
        <v>11</v>
      </c>
      <c r="M22" s="77">
        <v>12</v>
      </c>
      <c r="P22">
        <v>0.05</v>
      </c>
      <c r="Q22">
        <f>AVERAGE(B34:C34)</f>
        <v>0.56150000000000011</v>
      </c>
      <c r="R22">
        <f t="shared" ref="R22:R25" si="8">Q22-Q$21</f>
        <v>0.18150000000000011</v>
      </c>
      <c r="U22" t="s">
        <v>211</v>
      </c>
      <c r="V22" s="6">
        <v>0.60799999999999998</v>
      </c>
      <c r="W22">
        <f t="shared" si="6"/>
        <v>0.2465</v>
      </c>
      <c r="X22">
        <f t="shared" si="7"/>
        <v>7.8334877257989807E-2</v>
      </c>
      <c r="Y22">
        <f t="shared" si="3"/>
        <v>0.54834414080592864</v>
      </c>
    </row>
    <row r="23" spans="1:25" x14ac:dyDescent="0.25">
      <c r="A23" s="2" t="s">
        <v>118</v>
      </c>
      <c r="B23" s="6">
        <v>0.377</v>
      </c>
      <c r="C23" s="6">
        <v>0.38300000000000001</v>
      </c>
      <c r="D23" s="49"/>
      <c r="E23" s="51"/>
      <c r="F23" s="51"/>
      <c r="G23" s="51" t="s">
        <v>229</v>
      </c>
      <c r="H23" s="51"/>
      <c r="I23" s="51"/>
      <c r="J23" s="51"/>
      <c r="K23" s="51"/>
      <c r="L23" s="51"/>
      <c r="M23" s="51" t="s">
        <v>230</v>
      </c>
      <c r="P23">
        <v>0.1</v>
      </c>
      <c r="Q23">
        <f>AVERAGE(B36:C36)</f>
        <v>0.66149999999999998</v>
      </c>
      <c r="R23">
        <f t="shared" si="8"/>
        <v>0.28149999999999997</v>
      </c>
      <c r="U23" t="s">
        <v>212</v>
      </c>
      <c r="V23" s="7">
        <v>0.55900000000000005</v>
      </c>
      <c r="W23">
        <f t="shared" si="6"/>
        <v>0.19750000000000006</v>
      </c>
      <c r="X23">
        <f t="shared" si="7"/>
        <v>4.9965261695229309E-2</v>
      </c>
      <c r="Y23">
        <f t="shared" si="3"/>
        <v>0.34975683186660517</v>
      </c>
    </row>
    <row r="24" spans="1:25" x14ac:dyDescent="0.25">
      <c r="A24" s="2" t="s">
        <v>120</v>
      </c>
      <c r="B24" s="8">
        <v>0.54100000000000004</v>
      </c>
      <c r="C24" s="8">
        <v>0.53700000000000003</v>
      </c>
      <c r="D24" s="49"/>
      <c r="E24" s="51"/>
      <c r="F24" s="52" t="s">
        <v>205</v>
      </c>
      <c r="G24" s="78">
        <v>0.499</v>
      </c>
      <c r="H24" s="50">
        <v>0.55700000000000005</v>
      </c>
      <c r="I24" s="50">
        <v>0.55700000000000005</v>
      </c>
      <c r="J24" s="50">
        <v>0.57899999999999996</v>
      </c>
      <c r="K24" s="50">
        <v>0.57199999999999995</v>
      </c>
      <c r="L24" s="50">
        <v>0.56699999999999995</v>
      </c>
      <c r="M24" s="55">
        <v>0.621</v>
      </c>
      <c r="P24">
        <v>0.25</v>
      </c>
      <c r="Q24">
        <f>AVERAGE(B38:C38)</f>
        <v>0.82499999999999996</v>
      </c>
      <c r="R24">
        <f t="shared" si="8"/>
        <v>0.44499999999999995</v>
      </c>
      <c r="U24" t="s">
        <v>213</v>
      </c>
      <c r="V24" s="5">
        <v>0.63700000000000001</v>
      </c>
      <c r="W24">
        <f t="shared" si="6"/>
        <v>0.27550000000000002</v>
      </c>
      <c r="X24">
        <f t="shared" si="7"/>
        <v>9.5125057897174625E-2</v>
      </c>
      <c r="Y24">
        <f t="shared" si="3"/>
        <v>0.66587540528022238</v>
      </c>
    </row>
    <row r="25" spans="1:25" x14ac:dyDescent="0.25">
      <c r="A25" s="2" t="s">
        <v>76</v>
      </c>
      <c r="B25" s="3">
        <v>4.3999999999999997E-2</v>
      </c>
      <c r="C25" s="3">
        <v>4.3999999999999997E-2</v>
      </c>
      <c r="D25" s="4"/>
      <c r="E25" s="79">
        <v>0.56000000000000005</v>
      </c>
      <c r="F25" s="79">
        <v>0.56999999999999995</v>
      </c>
      <c r="G25" s="79">
        <v>0.57599999999999996</v>
      </c>
      <c r="H25" s="80">
        <v>0.60299999999999998</v>
      </c>
      <c r="I25" s="53"/>
      <c r="J25" s="79">
        <v>0.55000000000000004</v>
      </c>
      <c r="K25" s="53"/>
      <c r="L25" s="53"/>
      <c r="M25" s="53"/>
      <c r="P25">
        <v>0.5</v>
      </c>
      <c r="Q25">
        <f>AVERAGE(B40:C40)</f>
        <v>1.2614999999999998</v>
      </c>
      <c r="R25">
        <f t="shared" si="8"/>
        <v>0.88149999999999984</v>
      </c>
      <c r="U25" t="s">
        <v>214</v>
      </c>
      <c r="V25" s="7">
        <v>0.55400000000000005</v>
      </c>
      <c r="W25">
        <f t="shared" si="6"/>
        <v>0.19250000000000006</v>
      </c>
      <c r="X25">
        <f t="shared" si="7"/>
        <v>4.707040296433538E-2</v>
      </c>
      <c r="Y25">
        <f t="shared" si="3"/>
        <v>0.32949282075034764</v>
      </c>
    </row>
    <row r="26" spans="1:25" ht="16.5" customHeight="1" x14ac:dyDescent="0.25">
      <c r="A26" s="2" t="s">
        <v>121</v>
      </c>
      <c r="B26" s="13">
        <v>0.64900000000000002</v>
      </c>
      <c r="C26" s="13">
        <v>0.63200000000000001</v>
      </c>
      <c r="D26" s="4"/>
      <c r="E26" s="4" t="s">
        <v>231</v>
      </c>
      <c r="F26" s="4"/>
      <c r="G26" s="4"/>
      <c r="H26" s="4"/>
      <c r="I26" s="4"/>
      <c r="J26" s="4" t="s">
        <v>232</v>
      </c>
      <c r="K26" s="4"/>
      <c r="L26" s="4"/>
      <c r="M26" s="4"/>
      <c r="O26">
        <v>6</v>
      </c>
      <c r="U26" t="s">
        <v>215</v>
      </c>
      <c r="V26" s="6">
        <v>0.58399999999999996</v>
      </c>
      <c r="W26">
        <f t="shared" si="6"/>
        <v>0.22249999999999998</v>
      </c>
      <c r="X26">
        <f t="shared" si="7"/>
        <v>6.4439555349698918E-2</v>
      </c>
      <c r="Y26">
        <f t="shared" si="3"/>
        <v>0.45107688744789243</v>
      </c>
    </row>
    <row r="27" spans="1:25" x14ac:dyDescent="0.25">
      <c r="A27" s="2" t="s">
        <v>122</v>
      </c>
      <c r="B27" s="3">
        <v>4.4999999999999998E-2</v>
      </c>
      <c r="C27" s="3">
        <v>4.3999999999999997E-2</v>
      </c>
      <c r="D27" s="4"/>
      <c r="E27" s="4"/>
      <c r="F27" s="4"/>
      <c r="G27" s="4"/>
      <c r="H27" s="4"/>
      <c r="I27" s="4"/>
      <c r="J27" s="4"/>
      <c r="K27" s="4"/>
      <c r="L27" s="4"/>
      <c r="M27" s="4"/>
      <c r="P27">
        <v>0</v>
      </c>
      <c r="Q27">
        <f>AVERAGE(B43:C43)</f>
        <v>0.40800000000000003</v>
      </c>
      <c r="R27">
        <f>Q27-Q$27</f>
        <v>0</v>
      </c>
      <c r="U27" t="s">
        <v>216</v>
      </c>
      <c r="V27" s="5">
        <v>0.63900000000000001</v>
      </c>
      <c r="W27">
        <f t="shared" si="6"/>
        <v>0.27750000000000002</v>
      </c>
      <c r="X27">
        <f t="shared" si="7"/>
        <v>9.6283001389532205E-2</v>
      </c>
      <c r="Y27">
        <f t="shared" si="3"/>
        <v>0.67398100972672548</v>
      </c>
    </row>
    <row r="28" spans="1:25" x14ac:dyDescent="0.25">
      <c r="A28" s="2" t="s">
        <v>123</v>
      </c>
      <c r="B28" s="10">
        <v>0.86299999999999999</v>
      </c>
      <c r="C28" s="16">
        <v>0.87</v>
      </c>
      <c r="D28" s="4"/>
      <c r="E28" s="4"/>
      <c r="F28" s="4"/>
      <c r="G28" s="4"/>
      <c r="H28" s="4"/>
      <c r="I28" s="4"/>
      <c r="J28" s="4"/>
      <c r="K28" s="4"/>
      <c r="L28" s="4"/>
      <c r="M28" s="4"/>
      <c r="P28">
        <v>0.05</v>
      </c>
      <c r="Q28">
        <f>AVERAGE(B44:C44)</f>
        <v>0.58299999999999996</v>
      </c>
      <c r="R28">
        <f t="shared" ref="R28:R31" si="9">Q28-Q$27</f>
        <v>0.17499999999999993</v>
      </c>
      <c r="T28">
        <v>4</v>
      </c>
      <c r="U28" t="s">
        <v>0</v>
      </c>
      <c r="V28" t="s">
        <v>221</v>
      </c>
      <c r="W28" t="s">
        <v>222</v>
      </c>
      <c r="X28" t="s">
        <v>223</v>
      </c>
      <c r="Y28" t="s">
        <v>224</v>
      </c>
    </row>
    <row r="29" spans="1:25" x14ac:dyDescent="0.25">
      <c r="A29" s="2" t="s">
        <v>124</v>
      </c>
      <c r="B29" s="3">
        <v>4.4999999999999998E-2</v>
      </c>
      <c r="C29" s="3">
        <v>4.3999999999999997E-2</v>
      </c>
      <c r="D29" s="4"/>
      <c r="E29" s="4"/>
      <c r="F29" s="4"/>
      <c r="G29" s="4"/>
      <c r="H29" s="4"/>
      <c r="I29" s="4"/>
      <c r="J29" s="4"/>
      <c r="K29" s="4"/>
      <c r="L29" s="4"/>
      <c r="M29" s="4"/>
      <c r="P29">
        <v>0.1</v>
      </c>
      <c r="Q29">
        <f>AVERAGE(B46:C46)</f>
        <v>0.66400000000000003</v>
      </c>
      <c r="R29">
        <f t="shared" si="9"/>
        <v>0.25600000000000001</v>
      </c>
      <c r="U29" t="s">
        <v>206</v>
      </c>
      <c r="V29" s="78">
        <v>0.499</v>
      </c>
      <c r="W29">
        <f>V29-Q$15</f>
        <v>0.11899999999999999</v>
      </c>
      <c r="X29">
        <f>(W29-0.0461)/1.7889</f>
        <v>4.0751299681368439E-2</v>
      </c>
      <c r="Y29">
        <f t="shared" si="3"/>
        <v>0.28525909776957908</v>
      </c>
    </row>
    <row r="30" spans="1:25" x14ac:dyDescent="0.25">
      <c r="A30" s="2" t="s">
        <v>125</v>
      </c>
      <c r="B30" s="11">
        <v>1.3009999999999999</v>
      </c>
      <c r="C30" s="11">
        <v>1.3280000000000001</v>
      </c>
      <c r="D30" s="4"/>
      <c r="E30" s="4"/>
      <c r="F30" s="4"/>
      <c r="G30" s="4"/>
      <c r="H30" s="4"/>
      <c r="I30" s="4"/>
      <c r="J30" s="4"/>
      <c r="K30" s="4"/>
      <c r="L30" s="4"/>
      <c r="M30" s="4"/>
      <c r="P30">
        <v>0.25</v>
      </c>
      <c r="Q30">
        <f>AVERAGE(B48:C48)</f>
        <v>0.76350000000000007</v>
      </c>
      <c r="R30">
        <f t="shared" si="9"/>
        <v>0.35550000000000004</v>
      </c>
      <c r="U30" t="s">
        <v>207</v>
      </c>
      <c r="V30" s="50">
        <v>0.55700000000000005</v>
      </c>
      <c r="W30">
        <f t="shared" ref="W30:W39" si="10">V30-Q$15</f>
        <v>0.17700000000000005</v>
      </c>
      <c r="X30">
        <f t="shared" ref="X30:X39" si="11">(W30-0.0461)/1.7889</f>
        <v>7.3173458549946918E-2</v>
      </c>
      <c r="Y30">
        <f t="shared" si="3"/>
        <v>0.5122142098496284</v>
      </c>
    </row>
    <row r="31" spans="1:25" x14ac:dyDescent="0.25">
      <c r="A31">
        <v>5</v>
      </c>
      <c r="P31">
        <v>0.5</v>
      </c>
      <c r="Q31">
        <f>AVERAGE(B50:C50)</f>
        <v>1.3410000000000002</v>
      </c>
      <c r="R31">
        <f t="shared" si="9"/>
        <v>0.93300000000000016</v>
      </c>
      <c r="U31" t="s">
        <v>208</v>
      </c>
      <c r="V31" s="50">
        <v>0.55700000000000005</v>
      </c>
      <c r="W31">
        <f t="shared" si="10"/>
        <v>0.17700000000000005</v>
      </c>
      <c r="X31">
        <f t="shared" si="11"/>
        <v>7.3173458549946918E-2</v>
      </c>
      <c r="Y31">
        <f t="shared" si="3"/>
        <v>0.5122142098496284</v>
      </c>
    </row>
    <row r="32" spans="1:25" x14ac:dyDescent="0.25">
      <c r="A32" s="12"/>
      <c r="B32" s="2">
        <v>1</v>
      </c>
      <c r="C32" s="2">
        <v>2</v>
      </c>
      <c r="D32" s="2">
        <v>3</v>
      </c>
      <c r="E32" s="77">
        <v>4</v>
      </c>
      <c r="F32" s="77">
        <v>5</v>
      </c>
      <c r="G32" s="77">
        <v>6</v>
      </c>
      <c r="H32" s="77">
        <v>7</v>
      </c>
      <c r="I32" s="77">
        <v>8</v>
      </c>
      <c r="J32" s="77">
        <v>9</v>
      </c>
      <c r="K32" s="77">
        <v>10</v>
      </c>
      <c r="L32" s="77">
        <v>11</v>
      </c>
      <c r="M32" s="77">
        <v>12</v>
      </c>
      <c r="U32" t="s">
        <v>209</v>
      </c>
      <c r="V32" s="50">
        <v>0.57899999999999996</v>
      </c>
      <c r="W32">
        <f t="shared" si="10"/>
        <v>0.19899999999999995</v>
      </c>
      <c r="X32">
        <f t="shared" si="11"/>
        <v>8.5471518810442154E-2</v>
      </c>
      <c r="Y32">
        <f t="shared" si="3"/>
        <v>0.59830063167309511</v>
      </c>
    </row>
    <row r="33" spans="1:25" x14ac:dyDescent="0.25">
      <c r="A33" s="2" t="s">
        <v>118</v>
      </c>
      <c r="B33" s="6">
        <v>0.38600000000000001</v>
      </c>
      <c r="C33" s="6">
        <v>0.374</v>
      </c>
      <c r="D33" s="49"/>
      <c r="E33" s="51"/>
      <c r="F33" s="51"/>
      <c r="G33" s="51"/>
      <c r="H33" s="51"/>
      <c r="I33" s="51"/>
      <c r="J33" s="51"/>
      <c r="K33" s="51"/>
      <c r="L33" s="51"/>
      <c r="M33" s="51"/>
      <c r="U33" t="s">
        <v>210</v>
      </c>
      <c r="V33" s="50">
        <v>0.57199999999999995</v>
      </c>
      <c r="W33">
        <f t="shared" si="10"/>
        <v>0.19199999999999995</v>
      </c>
      <c r="X33">
        <f t="shared" si="11"/>
        <v>8.1558499636648199E-2</v>
      </c>
      <c r="Y33">
        <f t="shared" si="3"/>
        <v>0.57090949745653741</v>
      </c>
    </row>
    <row r="34" spans="1:25" x14ac:dyDescent="0.25">
      <c r="A34" s="2" t="s">
        <v>120</v>
      </c>
      <c r="B34" s="8">
        <v>0.56200000000000006</v>
      </c>
      <c r="C34" s="8">
        <v>0.56100000000000005</v>
      </c>
      <c r="D34" s="49"/>
      <c r="E34" s="51"/>
      <c r="F34" s="52"/>
      <c r="G34" s="78">
        <v>0.47399999999999998</v>
      </c>
      <c r="H34" s="50">
        <v>0.54</v>
      </c>
      <c r="I34" s="50">
        <v>0.50800000000000001</v>
      </c>
      <c r="J34" s="50">
        <v>0.54100000000000004</v>
      </c>
      <c r="K34" s="55">
        <v>0.57599999999999996</v>
      </c>
      <c r="L34" s="50">
        <v>0.51700000000000002</v>
      </c>
      <c r="M34" s="55">
        <v>0.59199999999999997</v>
      </c>
      <c r="U34" t="s">
        <v>211</v>
      </c>
      <c r="V34" s="50">
        <v>0.56699999999999995</v>
      </c>
      <c r="W34">
        <f t="shared" si="10"/>
        <v>0.18699999999999994</v>
      </c>
      <c r="X34">
        <f t="shared" si="11"/>
        <v>7.8763485941081082E-2</v>
      </c>
      <c r="Y34">
        <f t="shared" si="3"/>
        <v>0.55134440158756759</v>
      </c>
    </row>
    <row r="35" spans="1:25" x14ac:dyDescent="0.25">
      <c r="A35" s="2" t="s">
        <v>76</v>
      </c>
      <c r="B35" s="3">
        <v>4.3999999999999997E-2</v>
      </c>
      <c r="C35" s="3">
        <v>4.4999999999999998E-2</v>
      </c>
      <c r="D35" s="4"/>
      <c r="E35" s="79">
        <v>0.56399999999999995</v>
      </c>
      <c r="F35" s="79">
        <v>0.50700000000000001</v>
      </c>
      <c r="G35" s="80">
        <v>0.57399999999999995</v>
      </c>
      <c r="H35" s="80">
        <v>0.60099999999999998</v>
      </c>
      <c r="I35" s="53"/>
      <c r="J35" s="79">
        <v>0.54400000000000004</v>
      </c>
      <c r="K35" s="53"/>
      <c r="L35" s="53"/>
      <c r="M35" s="53"/>
      <c r="U35" t="s">
        <v>212</v>
      </c>
      <c r="V35" s="79">
        <v>0.56000000000000005</v>
      </c>
      <c r="W35">
        <f>V35-Q$15</f>
        <v>0.18000000000000005</v>
      </c>
      <c r="X35">
        <f>(W35-0.0461)/1.7889</f>
        <v>7.4850466767287183E-2</v>
      </c>
      <c r="Y35">
        <f>X35*7</f>
        <v>0.52395326737101033</v>
      </c>
    </row>
    <row r="36" spans="1:25" x14ac:dyDescent="0.25">
      <c r="A36" s="2" t="s">
        <v>121</v>
      </c>
      <c r="B36" s="15">
        <v>0.66900000000000004</v>
      </c>
      <c r="C36" s="13">
        <v>0.65400000000000003</v>
      </c>
      <c r="D36" s="4"/>
      <c r="E36" s="4"/>
      <c r="F36" s="4"/>
      <c r="G36" s="4"/>
      <c r="H36" s="4"/>
      <c r="I36" s="4"/>
      <c r="J36" s="4"/>
      <c r="K36" s="4"/>
      <c r="L36" s="4"/>
      <c r="M36" s="4"/>
      <c r="U36" t="s">
        <v>213</v>
      </c>
      <c r="V36" s="55">
        <v>0.621</v>
      </c>
      <c r="W36">
        <f>V36-Q$15</f>
        <v>0.24099999999999999</v>
      </c>
      <c r="X36">
        <f>(W36-0.0461)/1.7889</f>
        <v>0.10894963385320589</v>
      </c>
      <c r="Y36">
        <f>X36*7</f>
        <v>0.7626474369724412</v>
      </c>
    </row>
    <row r="37" spans="1:25" x14ac:dyDescent="0.25">
      <c r="A37" s="2" t="s">
        <v>122</v>
      </c>
      <c r="B37" s="3">
        <v>4.4999999999999998E-2</v>
      </c>
      <c r="C37" s="3">
        <v>4.3999999999999997E-2</v>
      </c>
      <c r="D37" s="4"/>
      <c r="E37" s="4"/>
      <c r="F37" s="4"/>
      <c r="G37" s="4"/>
      <c r="H37" s="4"/>
      <c r="I37" s="4"/>
      <c r="J37" s="4"/>
      <c r="K37" s="4"/>
      <c r="L37" s="4"/>
      <c r="M37" s="4"/>
      <c r="U37" t="s">
        <v>214</v>
      </c>
      <c r="V37" s="79">
        <v>0.56999999999999995</v>
      </c>
      <c r="W37">
        <f t="shared" si="10"/>
        <v>0.18999999999999995</v>
      </c>
      <c r="X37">
        <f t="shared" si="11"/>
        <v>8.0440494158421347E-2</v>
      </c>
      <c r="Y37">
        <f t="shared" si="3"/>
        <v>0.56308345910894941</v>
      </c>
    </row>
    <row r="38" spans="1:25" x14ac:dyDescent="0.25">
      <c r="A38" s="2" t="s">
        <v>123</v>
      </c>
      <c r="B38" s="10">
        <v>0.81699999999999995</v>
      </c>
      <c r="C38" s="16">
        <v>0.83299999999999996</v>
      </c>
      <c r="D38" s="4"/>
      <c r="E38" s="4"/>
      <c r="F38" s="4"/>
      <c r="G38" s="4"/>
      <c r="H38" s="4"/>
      <c r="I38" s="4"/>
      <c r="J38" s="4"/>
      <c r="K38" s="4"/>
      <c r="L38" s="4"/>
      <c r="M38" s="4"/>
      <c r="U38" t="s">
        <v>215</v>
      </c>
      <c r="V38" s="79">
        <v>0.57599999999999996</v>
      </c>
      <c r="W38">
        <f t="shared" si="10"/>
        <v>0.19599999999999995</v>
      </c>
      <c r="X38">
        <f t="shared" si="11"/>
        <v>8.3794510593101876E-2</v>
      </c>
      <c r="Y38">
        <f t="shared" si="3"/>
        <v>0.58656157415171317</v>
      </c>
    </row>
    <row r="39" spans="1:25" x14ac:dyDescent="0.25">
      <c r="A39" s="2" t="s">
        <v>124</v>
      </c>
      <c r="B39" s="3">
        <v>4.3999999999999997E-2</v>
      </c>
      <c r="C39" s="3">
        <v>4.3999999999999997E-2</v>
      </c>
      <c r="D39" s="4"/>
      <c r="E39" s="4"/>
      <c r="F39" s="4"/>
      <c r="G39" s="4"/>
      <c r="H39" s="4"/>
      <c r="I39" s="4"/>
      <c r="J39" s="4"/>
      <c r="K39" s="4"/>
      <c r="L39" s="4"/>
      <c r="M39" s="4"/>
      <c r="U39" t="s">
        <v>216</v>
      </c>
      <c r="V39" s="80">
        <v>0.60299999999999998</v>
      </c>
      <c r="W39">
        <f t="shared" si="10"/>
        <v>0.22299999999999998</v>
      </c>
      <c r="X39">
        <f t="shared" si="11"/>
        <v>9.8887584549164284E-2</v>
      </c>
      <c r="Y39">
        <f t="shared" si="3"/>
        <v>0.69221309184415003</v>
      </c>
    </row>
    <row r="40" spans="1:25" x14ac:dyDescent="0.25">
      <c r="A40" s="2" t="s">
        <v>125</v>
      </c>
      <c r="B40" s="11">
        <v>1.258</v>
      </c>
      <c r="C40" s="11">
        <v>1.2649999999999999</v>
      </c>
      <c r="D40" s="4"/>
      <c r="E40" s="4"/>
      <c r="F40" s="4"/>
      <c r="G40" s="4"/>
      <c r="H40" s="4"/>
      <c r="I40" s="4"/>
      <c r="J40" s="4"/>
      <c r="K40" s="4"/>
      <c r="L40" s="4"/>
      <c r="M40" s="4"/>
      <c r="T40">
        <v>5</v>
      </c>
      <c r="U40" t="s">
        <v>0</v>
      </c>
      <c r="V40" t="s">
        <v>221</v>
      </c>
      <c r="W40" t="s">
        <v>222</v>
      </c>
      <c r="X40" t="s">
        <v>223</v>
      </c>
      <c r="Y40" t="s">
        <v>224</v>
      </c>
    </row>
    <row r="41" spans="1:25" x14ac:dyDescent="0.25">
      <c r="A41">
        <v>6</v>
      </c>
      <c r="U41" t="s">
        <v>206</v>
      </c>
      <c r="V41" s="78">
        <v>0.47399999999999998</v>
      </c>
      <c r="W41">
        <f>V41-Q$21</f>
        <v>9.3999999999999972E-2</v>
      </c>
      <c r="X41">
        <f>(W41-0.0629)/1.6387</f>
        <v>1.8978458534203928E-2</v>
      </c>
      <c r="Y41">
        <f t="shared" si="3"/>
        <v>0.13284920973942749</v>
      </c>
    </row>
    <row r="42" spans="1:25" x14ac:dyDescent="0.25">
      <c r="A42" s="12"/>
      <c r="B42" s="2">
        <v>1</v>
      </c>
      <c r="C42" s="2">
        <v>2</v>
      </c>
      <c r="D42" s="2">
        <v>3</v>
      </c>
      <c r="E42" s="77">
        <v>4</v>
      </c>
      <c r="F42" s="77">
        <v>5</v>
      </c>
      <c r="G42" s="77">
        <v>6</v>
      </c>
      <c r="H42" s="77">
        <v>7</v>
      </c>
      <c r="I42" s="77">
        <v>8</v>
      </c>
      <c r="J42" s="77">
        <v>9</v>
      </c>
      <c r="K42" s="77">
        <v>10</v>
      </c>
      <c r="L42" s="77">
        <v>11</v>
      </c>
      <c r="M42" s="77">
        <v>12</v>
      </c>
      <c r="U42" t="s">
        <v>207</v>
      </c>
      <c r="V42" s="50">
        <v>0.54</v>
      </c>
      <c r="W42">
        <f t="shared" ref="W42:W51" si="12">V42-Q$21</f>
        <v>0.16000000000000003</v>
      </c>
      <c r="X42">
        <f t="shared" ref="X42:X51" si="13">(W42-0.0629)/1.6387</f>
        <v>5.9254286934765379E-2</v>
      </c>
      <c r="Y42">
        <f t="shared" si="3"/>
        <v>0.41478000854335767</v>
      </c>
    </row>
    <row r="43" spans="1:25" x14ac:dyDescent="0.25">
      <c r="A43" s="2" t="s">
        <v>118</v>
      </c>
      <c r="B43" s="6">
        <v>0.41099999999999998</v>
      </c>
      <c r="C43" s="6">
        <v>0.40500000000000003</v>
      </c>
      <c r="D43" s="49"/>
      <c r="E43" s="51"/>
      <c r="F43" s="51"/>
      <c r="G43" s="51"/>
      <c r="H43" s="51"/>
      <c r="I43" s="51"/>
      <c r="J43" s="51"/>
      <c r="K43" s="51"/>
      <c r="L43" s="51"/>
      <c r="M43" s="51"/>
      <c r="U43" t="s">
        <v>208</v>
      </c>
      <c r="V43" s="50">
        <v>0.50800000000000001</v>
      </c>
      <c r="W43">
        <f t="shared" si="12"/>
        <v>0.128</v>
      </c>
      <c r="X43">
        <f t="shared" si="13"/>
        <v>3.9726612558735587E-2</v>
      </c>
      <c r="Y43">
        <f t="shared" si="3"/>
        <v>0.27808628791114909</v>
      </c>
    </row>
    <row r="44" spans="1:25" x14ac:dyDescent="0.25">
      <c r="A44" s="2" t="s">
        <v>120</v>
      </c>
      <c r="B44" s="8">
        <v>0.58799999999999997</v>
      </c>
      <c r="C44" s="8">
        <v>0.57799999999999996</v>
      </c>
      <c r="D44" s="49"/>
      <c r="E44" s="51"/>
      <c r="F44" s="52"/>
      <c r="G44" s="50">
        <v>0.53400000000000003</v>
      </c>
      <c r="H44" s="55">
        <v>0.60599999999999998</v>
      </c>
      <c r="I44" s="55">
        <v>0.60399999999999998</v>
      </c>
      <c r="J44" s="55">
        <v>0.61899999999999999</v>
      </c>
      <c r="K44" s="55">
        <v>0.63</v>
      </c>
      <c r="L44" s="50">
        <v>0.57799999999999996</v>
      </c>
      <c r="M44" s="55">
        <v>0.60899999999999999</v>
      </c>
      <c r="U44" t="s">
        <v>209</v>
      </c>
      <c r="V44" s="50">
        <v>0.54100000000000004</v>
      </c>
      <c r="W44">
        <f t="shared" si="12"/>
        <v>0.16100000000000003</v>
      </c>
      <c r="X44">
        <f t="shared" si="13"/>
        <v>5.9864526759016309E-2</v>
      </c>
      <c r="Y44">
        <f t="shared" si="3"/>
        <v>0.41905168731311415</v>
      </c>
    </row>
    <row r="45" spans="1:25" x14ac:dyDescent="0.25">
      <c r="A45" s="2" t="s">
        <v>76</v>
      </c>
      <c r="B45" s="3">
        <v>4.4999999999999998E-2</v>
      </c>
      <c r="C45" s="3">
        <v>4.4999999999999998E-2</v>
      </c>
      <c r="D45" s="4"/>
      <c r="E45" s="79">
        <v>0.55400000000000005</v>
      </c>
      <c r="F45" s="80">
        <v>0.60399999999999998</v>
      </c>
      <c r="G45" s="80">
        <v>0.628</v>
      </c>
      <c r="H45" s="80">
        <v>0.65900000000000003</v>
      </c>
      <c r="I45" s="53"/>
      <c r="J45" s="79">
        <v>0.59899999999999998</v>
      </c>
      <c r="K45" s="53"/>
      <c r="L45" s="53"/>
      <c r="M45" s="53"/>
      <c r="U45" t="s">
        <v>210</v>
      </c>
      <c r="V45" s="55">
        <v>0.57599999999999996</v>
      </c>
      <c r="W45">
        <f t="shared" si="12"/>
        <v>0.19599999999999995</v>
      </c>
      <c r="X45">
        <f t="shared" si="13"/>
        <v>8.1222920607798829E-2</v>
      </c>
      <c r="Y45">
        <f t="shared" si="3"/>
        <v>0.56856044425459185</v>
      </c>
    </row>
    <row r="46" spans="1:25" x14ac:dyDescent="0.25">
      <c r="A46" s="2" t="s">
        <v>121</v>
      </c>
      <c r="B46" s="13">
        <v>0.66</v>
      </c>
      <c r="C46" s="13">
        <v>0.66800000000000004</v>
      </c>
      <c r="D46" s="4"/>
      <c r="E46" s="4"/>
      <c r="F46" s="4"/>
      <c r="G46" s="4"/>
      <c r="H46" s="4"/>
      <c r="I46" s="4"/>
      <c r="J46" s="4"/>
      <c r="K46" s="4"/>
      <c r="L46" s="4"/>
      <c r="M46" s="4"/>
      <c r="U46" t="s">
        <v>211</v>
      </c>
      <c r="V46" s="50">
        <v>0.51700000000000002</v>
      </c>
      <c r="W46">
        <f t="shared" si="12"/>
        <v>0.13700000000000001</v>
      </c>
      <c r="X46">
        <f t="shared" si="13"/>
        <v>4.5218770976993963E-2</v>
      </c>
      <c r="Y46">
        <f t="shared" si="3"/>
        <v>0.31653139683895776</v>
      </c>
    </row>
    <row r="47" spans="1:25" x14ac:dyDescent="0.25">
      <c r="A47" s="2" t="s">
        <v>122</v>
      </c>
      <c r="B47" s="3">
        <v>4.4999999999999998E-2</v>
      </c>
      <c r="C47" s="3">
        <v>4.4999999999999998E-2</v>
      </c>
      <c r="D47" s="4"/>
      <c r="E47" s="4"/>
      <c r="F47" s="4"/>
      <c r="G47" s="4"/>
      <c r="H47" s="4"/>
      <c r="I47" s="4"/>
      <c r="J47" s="4"/>
      <c r="K47" s="4"/>
      <c r="L47" s="4"/>
      <c r="M47" s="4"/>
      <c r="U47" t="s">
        <v>212</v>
      </c>
      <c r="V47" s="79">
        <v>0.56399999999999995</v>
      </c>
      <c r="W47">
        <f>V47-Q$21</f>
        <v>0.18399999999999994</v>
      </c>
      <c r="X47">
        <f>(W47-0.0629)/1.6387</f>
        <v>7.3900042716787656E-2</v>
      </c>
      <c r="Y47">
        <f>X47*7</f>
        <v>0.51730029901751362</v>
      </c>
    </row>
    <row r="48" spans="1:25" x14ac:dyDescent="0.25">
      <c r="A48" s="2" t="s">
        <v>123</v>
      </c>
      <c r="B48" s="10">
        <v>0.80100000000000005</v>
      </c>
      <c r="C48" s="15">
        <v>0.72599999999999998</v>
      </c>
      <c r="D48" s="4"/>
      <c r="E48" s="4"/>
      <c r="F48" s="4"/>
      <c r="G48" s="4"/>
      <c r="H48" s="4"/>
      <c r="I48" s="4"/>
      <c r="J48" s="4"/>
      <c r="K48" s="4"/>
      <c r="L48" s="4"/>
      <c r="M48" s="4"/>
      <c r="U48" t="s">
        <v>213</v>
      </c>
      <c r="V48" s="55">
        <v>0.59199999999999997</v>
      </c>
      <c r="W48">
        <f>V48-Q$21</f>
        <v>0.21199999999999997</v>
      </c>
      <c r="X48">
        <f>(W48-0.0629)/1.6387</f>
        <v>9.0986757795813722E-2</v>
      </c>
      <c r="Y48">
        <f>X48*7</f>
        <v>0.63690730457069611</v>
      </c>
    </row>
    <row r="49" spans="1:25" x14ac:dyDescent="0.25">
      <c r="A49" s="2" t="s">
        <v>124</v>
      </c>
      <c r="B49" s="3">
        <v>4.4999999999999998E-2</v>
      </c>
      <c r="C49" s="3">
        <v>4.4999999999999998E-2</v>
      </c>
      <c r="D49" s="4"/>
      <c r="E49" s="4"/>
      <c r="F49" s="4"/>
      <c r="G49" s="4"/>
      <c r="H49" s="4"/>
      <c r="I49" s="4"/>
      <c r="J49" s="4"/>
      <c r="K49" s="4"/>
      <c r="L49" s="4"/>
      <c r="M49" s="4"/>
      <c r="U49" t="s">
        <v>214</v>
      </c>
      <c r="V49" s="79">
        <v>0.50700000000000001</v>
      </c>
      <c r="W49">
        <f t="shared" si="12"/>
        <v>0.127</v>
      </c>
      <c r="X49">
        <f t="shared" si="13"/>
        <v>3.9116372734484657E-2</v>
      </c>
      <c r="Y49">
        <f t="shared" si="3"/>
        <v>0.27381460914139261</v>
      </c>
    </row>
    <row r="50" spans="1:25" x14ac:dyDescent="0.25">
      <c r="A50" s="2" t="s">
        <v>125</v>
      </c>
      <c r="B50" s="11">
        <v>1.3440000000000001</v>
      </c>
      <c r="C50" s="11">
        <v>1.3380000000000001</v>
      </c>
      <c r="D50" s="4"/>
      <c r="E50" s="4"/>
      <c r="F50" s="4"/>
      <c r="G50" s="4"/>
      <c r="H50" s="4"/>
      <c r="I50" s="4"/>
      <c r="J50" s="4"/>
      <c r="K50" s="4"/>
      <c r="L50" s="4"/>
      <c r="M50" s="4"/>
      <c r="U50" t="s">
        <v>215</v>
      </c>
      <c r="V50" s="80">
        <v>0.57399999999999995</v>
      </c>
      <c r="W50">
        <f t="shared" si="12"/>
        <v>0.19399999999999995</v>
      </c>
      <c r="X50">
        <f t="shared" si="13"/>
        <v>8.0002440959296969E-2</v>
      </c>
      <c r="Y50">
        <f t="shared" si="3"/>
        <v>0.56001708671507877</v>
      </c>
    </row>
    <row r="51" spans="1:25" x14ac:dyDescent="0.25">
      <c r="U51" t="s">
        <v>216</v>
      </c>
      <c r="V51" s="80">
        <v>0.60099999999999998</v>
      </c>
      <c r="W51">
        <f t="shared" si="12"/>
        <v>0.22099999999999997</v>
      </c>
      <c r="X51">
        <f t="shared" si="13"/>
        <v>9.6478916214072105E-2</v>
      </c>
      <c r="Y51">
        <f t="shared" si="3"/>
        <v>0.67535241349850472</v>
      </c>
    </row>
    <row r="52" spans="1:25" x14ac:dyDescent="0.25">
      <c r="T52">
        <v>6</v>
      </c>
      <c r="U52" t="s">
        <v>0</v>
      </c>
      <c r="V52" t="s">
        <v>221</v>
      </c>
      <c r="W52" t="s">
        <v>222</v>
      </c>
      <c r="X52" t="s">
        <v>223</v>
      </c>
      <c r="Y52" t="s">
        <v>224</v>
      </c>
    </row>
    <row r="53" spans="1:25" x14ac:dyDescent="0.25">
      <c r="U53" t="s">
        <v>206</v>
      </c>
      <c r="V53" s="50">
        <v>0.53400000000000003</v>
      </c>
      <c r="W53">
        <f>V53-Q$27</f>
        <v>0.126</v>
      </c>
      <c r="X53">
        <f>(W53-0.0345)/1.7191</f>
        <v>5.3225524984003257E-2</v>
      </c>
      <c r="Y53">
        <f t="shared" si="3"/>
        <v>0.37257867488802282</v>
      </c>
    </row>
    <row r="54" spans="1:25" x14ac:dyDescent="0.25">
      <c r="A54">
        <v>1</v>
      </c>
      <c r="J54">
        <v>3</v>
      </c>
      <c r="U54" t="s">
        <v>207</v>
      </c>
      <c r="V54" s="55">
        <v>0.60599999999999998</v>
      </c>
      <c r="W54">
        <f t="shared" ref="W54:W63" si="14">V54-Q$27</f>
        <v>0.19799999999999995</v>
      </c>
      <c r="X54">
        <f t="shared" ref="X54:X63" si="15">(W54-0.0345)/1.7191</f>
        <v>9.5107905299284479E-2</v>
      </c>
      <c r="Y54">
        <f t="shared" si="3"/>
        <v>0.66575533709499135</v>
      </c>
    </row>
    <row r="55" spans="1:25" x14ac:dyDescent="0.25">
      <c r="U55" t="s">
        <v>208</v>
      </c>
      <c r="V55" s="55">
        <v>0.60399999999999998</v>
      </c>
      <c r="W55">
        <f t="shared" si="14"/>
        <v>0.19599999999999995</v>
      </c>
      <c r="X55">
        <f t="shared" si="15"/>
        <v>9.3944505846082216E-2</v>
      </c>
      <c r="Y55">
        <f t="shared" si="3"/>
        <v>0.65761154092257557</v>
      </c>
    </row>
    <row r="56" spans="1:25" x14ac:dyDescent="0.25">
      <c r="U56" t="s">
        <v>209</v>
      </c>
      <c r="V56" s="55">
        <v>0.61899999999999999</v>
      </c>
      <c r="W56">
        <f t="shared" si="14"/>
        <v>0.21099999999999997</v>
      </c>
      <c r="X56">
        <f t="shared" si="15"/>
        <v>0.10267000174509916</v>
      </c>
      <c r="Y56">
        <f t="shared" si="3"/>
        <v>0.71869001221569406</v>
      </c>
    </row>
    <row r="57" spans="1:25" x14ac:dyDescent="0.25">
      <c r="U57" t="s">
        <v>210</v>
      </c>
      <c r="V57" s="55">
        <v>0.63</v>
      </c>
      <c r="W57">
        <f t="shared" si="14"/>
        <v>0.22199999999999998</v>
      </c>
      <c r="X57">
        <f t="shared" si="15"/>
        <v>0.10906869873771158</v>
      </c>
      <c r="Y57">
        <f t="shared" si="3"/>
        <v>0.76348089116398099</v>
      </c>
    </row>
    <row r="58" spans="1:25" x14ac:dyDescent="0.25">
      <c r="U58" t="s">
        <v>211</v>
      </c>
      <c r="V58" s="50">
        <v>0.57799999999999996</v>
      </c>
      <c r="W58">
        <f t="shared" si="14"/>
        <v>0.16999999999999993</v>
      </c>
      <c r="X58">
        <f t="shared" si="15"/>
        <v>7.8820312954452867E-2</v>
      </c>
      <c r="Y58">
        <f t="shared" si="3"/>
        <v>0.55174219068117003</v>
      </c>
    </row>
    <row r="59" spans="1:25" x14ac:dyDescent="0.25">
      <c r="U59" t="s">
        <v>212</v>
      </c>
      <c r="V59" s="79">
        <v>0.55400000000000005</v>
      </c>
      <c r="W59">
        <f>V59-Q$27</f>
        <v>0.14600000000000002</v>
      </c>
      <c r="X59">
        <f>(W59-0.0345)/1.7191</f>
        <v>6.4859519516025838E-2</v>
      </c>
      <c r="Y59">
        <f>X59*7</f>
        <v>0.45401663661218084</v>
      </c>
    </row>
    <row r="60" spans="1:25" x14ac:dyDescent="0.25">
      <c r="U60" t="s">
        <v>213</v>
      </c>
      <c r="V60" s="55">
        <v>0.60899999999999999</v>
      </c>
      <c r="W60">
        <f>V60-Q$27</f>
        <v>0.20099999999999996</v>
      </c>
      <c r="X60">
        <f>(W60-0.0345)/1.7191</f>
        <v>9.6853004479087859E-2</v>
      </c>
      <c r="Y60">
        <f>X60*7</f>
        <v>0.67797103135361503</v>
      </c>
    </row>
    <row r="61" spans="1:25" x14ac:dyDescent="0.25">
      <c r="U61" t="s">
        <v>214</v>
      </c>
      <c r="V61" s="80">
        <v>0.60399999999999998</v>
      </c>
      <c r="W61">
        <f t="shared" si="14"/>
        <v>0.19599999999999995</v>
      </c>
      <c r="X61">
        <f t="shared" si="15"/>
        <v>9.3944505846082216E-2</v>
      </c>
      <c r="Y61">
        <f t="shared" si="3"/>
        <v>0.65761154092257557</v>
      </c>
    </row>
    <row r="62" spans="1:25" x14ac:dyDescent="0.25">
      <c r="U62" t="s">
        <v>215</v>
      </c>
      <c r="V62" s="80">
        <v>0.628</v>
      </c>
      <c r="W62">
        <f t="shared" si="14"/>
        <v>0.21999999999999997</v>
      </c>
      <c r="X62">
        <f t="shared" si="15"/>
        <v>0.10790529928450932</v>
      </c>
      <c r="Y62">
        <f t="shared" si="3"/>
        <v>0.75533709499156521</v>
      </c>
    </row>
    <row r="63" spans="1:25" x14ac:dyDescent="0.25">
      <c r="U63" t="s">
        <v>216</v>
      </c>
      <c r="V63" s="80">
        <v>0.65900000000000003</v>
      </c>
      <c r="W63">
        <f t="shared" si="14"/>
        <v>0.251</v>
      </c>
      <c r="X63">
        <f t="shared" si="15"/>
        <v>0.12593799080914431</v>
      </c>
      <c r="Y63">
        <f t="shared" si="3"/>
        <v>0.8815659356640102</v>
      </c>
    </row>
    <row r="73" spans="1:10" x14ac:dyDescent="0.25">
      <c r="A73">
        <v>4</v>
      </c>
      <c r="J73">
        <v>5</v>
      </c>
    </row>
    <row r="92" spans="1:1" x14ac:dyDescent="0.25">
      <c r="A92">
        <v>6</v>
      </c>
    </row>
  </sheetData>
  <mergeCells count="2">
    <mergeCell ref="P1:R1"/>
    <mergeCell ref="U1:Y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6EFBCA37F92A49B8057DF29FF2A44A" ma:contentTypeVersion="15" ma:contentTypeDescription="Create a new document." ma:contentTypeScope="" ma:versionID="1d3a4ff29ddf6bebe209d224659ba095">
  <xsd:schema xmlns:xsd="http://www.w3.org/2001/XMLSchema" xmlns:xs="http://www.w3.org/2001/XMLSchema" xmlns:p="http://schemas.microsoft.com/office/2006/metadata/properties" xmlns:ns3="da90bdc0-c2cf-453a-b689-9b4c2f37430f" xmlns:ns4="136d0536-cc7d-4b85-b764-b509b02721bc" targetNamespace="http://schemas.microsoft.com/office/2006/metadata/properties" ma:root="true" ma:fieldsID="24fe886b976b8b1f940161e4bdba6673" ns3:_="" ns4:_="">
    <xsd:import namespace="da90bdc0-c2cf-453a-b689-9b4c2f37430f"/>
    <xsd:import namespace="136d0536-cc7d-4b85-b764-b509b02721b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90bdc0-c2cf-453a-b689-9b4c2f3743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6d0536-cc7d-4b85-b764-b509b02721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90bdc0-c2cf-453a-b689-9b4c2f37430f" xsi:nil="true"/>
  </documentManagement>
</p:properties>
</file>

<file path=customXml/itemProps1.xml><?xml version="1.0" encoding="utf-8"?>
<ds:datastoreItem xmlns:ds="http://schemas.openxmlformats.org/officeDocument/2006/customXml" ds:itemID="{B2A39F5F-B378-4F5C-BA81-67E790F3A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90bdc0-c2cf-453a-b689-9b4c2f37430f"/>
    <ds:schemaRef ds:uri="136d0536-cc7d-4b85-b764-b509b02721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D8A514-35F6-4560-A30A-F077845584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C53761-F1CF-40ED-9955-05D0C276DF85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www.w3.org/XML/1998/namespace"/>
    <ds:schemaRef ds:uri="da90bdc0-c2cf-453a-b689-9b4c2f37430f"/>
    <ds:schemaRef ds:uri="http://purl.org/dc/elements/1.1/"/>
    <ds:schemaRef ds:uri="http://schemas.openxmlformats.org/package/2006/metadata/core-properties"/>
    <ds:schemaRef ds:uri="136d0536-cc7d-4b85-b764-b509b02721bc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60956884-10ad-40fa-863d-4f32c1e3a37a}" enabled="0" method="" siteId="{60956884-10ad-40fa-863d-4f32c1e3a3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Protein Stat Tables</vt:lpstr>
      <vt:lpstr>Sample Inventory</vt:lpstr>
      <vt:lpstr>All PR_Conc</vt:lpstr>
      <vt:lpstr>AM</vt:lpstr>
      <vt:lpstr>AR</vt:lpstr>
      <vt:lpstr>ANR</vt:lpstr>
      <vt:lpstr>JM</vt:lpstr>
      <vt:lpstr>JR</vt:lpstr>
      <vt:lpstr>JNR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Parrott, William</dc:creator>
  <cp:keywords/>
  <dc:description/>
  <cp:lastModifiedBy>Parrott, William</cp:lastModifiedBy>
  <cp:revision/>
  <dcterms:created xsi:type="dcterms:W3CDTF">2026-09-21T13:15:28Z</dcterms:created>
  <dcterms:modified xsi:type="dcterms:W3CDTF">2026-10-28T14:09:40Z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0x010100FD6EFBCA37F92A49B8057DF29FF2A44A</vt:lpwstr>
  </property>
</Properties>
</file>