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Downloads\"/>
    </mc:Choice>
  </mc:AlternateContent>
  <xr:revisionPtr revIDLastSave="0" documentId="8_{835EB6C1-27B6-4A4C-9804-6B390A4681F0}" xr6:coauthVersionLast="47" xr6:coauthVersionMax="47" xr10:uidLastSave="{00000000-0000-0000-0000-000000000000}"/>
  <bookViews>
    <workbookView xWindow="-120" yWindow="-120" windowWidth="29040" windowHeight="15720" xr2:uid="{45DFC400-7902-4039-A9FC-AC601F8E7C45}"/>
  </bookViews>
  <sheets>
    <sheet name="Tables for Thesis" sheetId="14" r:id="rId1"/>
    <sheet name="Data Collected" sheetId="1" r:id="rId2"/>
    <sheet name="3C" sheetId="2" r:id="rId3"/>
    <sheet name="2C" sheetId="8" r:id="rId4"/>
    <sheet name="A" sheetId="9" r:id="rId5"/>
    <sheet name="B" sheetId="10" r:id="rId6"/>
    <sheet name="C" sheetId="12" r:id="rId7"/>
    <sheet name="HM" sheetId="1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12" l="1"/>
  <c r="E10" i="12"/>
  <c r="E14" i="10"/>
  <c r="E10" i="10"/>
  <c r="E22" i="9"/>
  <c r="E19" i="9"/>
  <c r="E15" i="8"/>
  <c r="E11" i="8"/>
  <c r="F16" i="2"/>
  <c r="F11" i="2"/>
  <c r="C15" i="14"/>
  <c r="B15" i="14"/>
  <c r="C14" i="14"/>
  <c r="B14" i="14"/>
  <c r="C13" i="14"/>
  <c r="B13" i="14"/>
  <c r="C12" i="14"/>
  <c r="B12" i="14"/>
  <c r="C11" i="14"/>
  <c r="B11" i="14"/>
  <c r="C10" i="14"/>
  <c r="B10" i="14"/>
  <c r="D5" i="14"/>
  <c r="C5" i="14"/>
  <c r="B5" i="14"/>
  <c r="L15" i="9"/>
  <c r="M14" i="9"/>
  <c r="M13" i="9"/>
  <c r="L14" i="9"/>
  <c r="L13" i="9"/>
  <c r="G15" i="9"/>
  <c r="B15" i="9"/>
  <c r="H14" i="9"/>
  <c r="G14" i="9"/>
  <c r="H13" i="9"/>
  <c r="G13" i="9"/>
  <c r="C14" i="9"/>
  <c r="B14" i="9"/>
  <c r="C13" i="9"/>
  <c r="B13" i="9"/>
  <c r="C6" i="14"/>
  <c r="B6" i="14"/>
  <c r="D7" i="14"/>
  <c r="C7" i="14"/>
  <c r="D4" i="14"/>
  <c r="C4" i="14"/>
  <c r="B4" i="14"/>
  <c r="D3" i="14"/>
  <c r="B3" i="14"/>
  <c r="D2" i="14"/>
  <c r="C2" i="14"/>
  <c r="B2" i="14"/>
  <c r="I7" i="14"/>
  <c r="I6" i="14"/>
  <c r="I4" i="14"/>
  <c r="I3" i="14"/>
  <c r="I2" i="14"/>
  <c r="I6" i="13"/>
  <c r="H6" i="13"/>
  <c r="G6" i="13"/>
  <c r="I5" i="13"/>
  <c r="H5" i="13"/>
  <c r="G5" i="13"/>
  <c r="L5" i="13" s="1"/>
  <c r="I4" i="13"/>
  <c r="H4" i="13"/>
  <c r="G4" i="13"/>
  <c r="D6" i="13"/>
  <c r="C6" i="13"/>
  <c r="D5" i="13"/>
  <c r="C5" i="13"/>
  <c r="D4" i="13"/>
  <c r="C4" i="13"/>
  <c r="B6" i="13"/>
  <c r="B5" i="13"/>
  <c r="B4" i="13"/>
  <c r="L5" i="12"/>
  <c r="M5" i="12"/>
  <c r="M4" i="12"/>
  <c r="L4" i="12"/>
  <c r="L6" i="12" s="1"/>
  <c r="H5" i="12"/>
  <c r="G5" i="12"/>
  <c r="H4" i="12"/>
  <c r="G4" i="12"/>
  <c r="C5" i="12"/>
  <c r="B5" i="12"/>
  <c r="C4" i="12"/>
  <c r="B4" i="12"/>
  <c r="H5" i="10"/>
  <c r="M5" i="10" s="1"/>
  <c r="G5" i="10"/>
  <c r="L5" i="10" s="1"/>
  <c r="M4" i="10"/>
  <c r="L4" i="10"/>
  <c r="H4" i="10"/>
  <c r="G4" i="10"/>
  <c r="C5" i="10"/>
  <c r="B5" i="10"/>
  <c r="C4" i="10"/>
  <c r="B4" i="10"/>
  <c r="L7" i="8"/>
  <c r="G7" i="8"/>
  <c r="B7" i="8"/>
  <c r="G5" i="9"/>
  <c r="H5" i="9"/>
  <c r="M5" i="9" s="1"/>
  <c r="H4" i="9"/>
  <c r="G4" i="9"/>
  <c r="C5" i="9"/>
  <c r="B5" i="9"/>
  <c r="L5" i="9" s="1"/>
  <c r="C4" i="9"/>
  <c r="C4" i="2"/>
  <c r="M4" i="2" s="1"/>
  <c r="L7" i="2" s="1"/>
  <c r="B4" i="9"/>
  <c r="B6" i="9" s="1"/>
  <c r="L5" i="8"/>
  <c r="M5" i="8"/>
  <c r="N5" i="8"/>
  <c r="L6" i="8"/>
  <c r="M6" i="8"/>
  <c r="N6" i="8"/>
  <c r="M4" i="8"/>
  <c r="N4" i="8"/>
  <c r="L4" i="8"/>
  <c r="I6" i="8"/>
  <c r="H6" i="8"/>
  <c r="G6" i="8"/>
  <c r="I5" i="8"/>
  <c r="H5" i="8"/>
  <c r="G5" i="8"/>
  <c r="I4" i="8"/>
  <c r="H4" i="8"/>
  <c r="G4" i="8"/>
  <c r="G7" i="2"/>
  <c r="L5" i="2"/>
  <c r="M5" i="2"/>
  <c r="N5" i="2"/>
  <c r="L6" i="2"/>
  <c r="M6" i="2"/>
  <c r="N6" i="2"/>
  <c r="N4" i="2"/>
  <c r="L4" i="2"/>
  <c r="D6" i="8"/>
  <c r="C6" i="8"/>
  <c r="B6" i="8"/>
  <c r="D5" i="8"/>
  <c r="C5" i="8"/>
  <c r="B5" i="8"/>
  <c r="D4" i="8"/>
  <c r="C4" i="8"/>
  <c r="B4" i="8"/>
  <c r="I6" i="2"/>
  <c r="H6" i="2"/>
  <c r="G6" i="2"/>
  <c r="I5" i="2"/>
  <c r="H5" i="2"/>
  <c r="G5" i="2"/>
  <c r="I4" i="2"/>
  <c r="H4" i="2"/>
  <c r="G4" i="2"/>
  <c r="B7" i="2"/>
  <c r="C6" i="2"/>
  <c r="B6" i="2"/>
  <c r="D6" i="2"/>
  <c r="D5" i="2"/>
  <c r="B5" i="2"/>
  <c r="C5" i="2"/>
  <c r="D4" i="2"/>
  <c r="B4" i="2"/>
  <c r="G6" i="9" l="1"/>
  <c r="G7" i="13"/>
  <c r="M6" i="13"/>
  <c r="N6" i="13"/>
  <c r="B7" i="13"/>
  <c r="N5" i="13"/>
  <c r="M5" i="13"/>
  <c r="M4" i="13"/>
  <c r="N4" i="13"/>
  <c r="L6" i="13"/>
  <c r="L4" i="13"/>
  <c r="G6" i="12"/>
  <c r="B6" i="12"/>
  <c r="G6" i="10"/>
  <c r="B6" i="10"/>
  <c r="L6" i="10"/>
  <c r="L4" i="9"/>
  <c r="M4" i="9"/>
  <c r="L6" i="9" l="1"/>
  <c r="I5" i="14" s="1"/>
  <c r="L7" i="13"/>
</calcChain>
</file>

<file path=xl/sharedStrings.xml><?xml version="1.0" encoding="utf-8"?>
<sst xmlns="http://schemas.openxmlformats.org/spreadsheetml/2006/main" count="972" uniqueCount="109">
  <si>
    <t>Model</t>
  </si>
  <si>
    <t>Resistant %</t>
  </si>
  <si>
    <t>Medium %</t>
  </si>
  <si>
    <t>Not Resistant %</t>
  </si>
  <si>
    <t>Calibration %</t>
  </si>
  <si>
    <t>Cross-Validated %</t>
  </si>
  <si>
    <t>Evaluation %</t>
  </si>
  <si>
    <t>Three Class</t>
  </si>
  <si>
    <t>Two Class</t>
  </si>
  <si>
    <t>n/a</t>
  </si>
  <si>
    <t>Hierarchical Model</t>
  </si>
  <si>
    <t>A</t>
  </si>
  <si>
    <t>B</t>
  </si>
  <si>
    <t>C</t>
  </si>
  <si>
    <t>Original %</t>
  </si>
  <si>
    <t>Naive %</t>
  </si>
  <si>
    <t>Sample</t>
  </si>
  <si>
    <t>True Class</t>
  </si>
  <si>
    <t>B/MID</t>
  </si>
  <si>
    <t>3C</t>
  </si>
  <si>
    <t>2C</t>
  </si>
  <si>
    <t>BWA?</t>
  </si>
  <si>
    <t>Training Genotypes</t>
  </si>
  <si>
    <t>HM</t>
  </si>
  <si>
    <t>121-10-29</t>
  </si>
  <si>
    <t>NR</t>
  </si>
  <si>
    <t>M</t>
  </si>
  <si>
    <t>N</t>
  </si>
  <si>
    <t>R</t>
  </si>
  <si>
    <t>121-13-12</t>
  </si>
  <si>
    <t>121-13-39</t>
  </si>
  <si>
    <t>MR</t>
  </si>
  <si>
    <t>121-20-31</t>
  </si>
  <si>
    <t>121-21-8</t>
  </si>
  <si>
    <t>Testing Genotypes</t>
  </si>
  <si>
    <t>121-4-22</t>
  </si>
  <si>
    <t>121-4-34</t>
  </si>
  <si>
    <t>121-11-44</t>
  </si>
  <si>
    <t>121-10-19</t>
  </si>
  <si>
    <t>121-8-34</t>
  </si>
  <si>
    <t>Colored Cells indicate hierarchical model (HM) results</t>
  </si>
  <si>
    <t>131-11-19</t>
  </si>
  <si>
    <t>131-10-35</t>
  </si>
  <si>
    <t>131-14-39</t>
  </si>
  <si>
    <t>131-18-32</t>
  </si>
  <si>
    <t>MID</t>
  </si>
  <si>
    <t>131-20-24</t>
  </si>
  <si>
    <t>131-20-47</t>
  </si>
  <si>
    <t>131-2-3</t>
  </si>
  <si>
    <t>131-24-31</t>
  </si>
  <si>
    <t>131-3-24</t>
  </si>
  <si>
    <t>131-6-27</t>
  </si>
  <si>
    <t>24-13-18</t>
  </si>
  <si>
    <t>24-14-26</t>
  </si>
  <si>
    <t>24-16-54</t>
  </si>
  <si>
    <t>24-19-34</t>
  </si>
  <si>
    <t>24-13-14</t>
  </si>
  <si>
    <t>24-9-34</t>
  </si>
  <si>
    <t>24-10-38</t>
  </si>
  <si>
    <t>24-6-46</t>
  </si>
  <si>
    <t>24-8-31</t>
  </si>
  <si>
    <t>24-9-21</t>
  </si>
  <si>
    <t>32-12-30</t>
  </si>
  <si>
    <t>32-13-36</t>
  </si>
  <si>
    <t>32-13-41</t>
  </si>
  <si>
    <t>32-19-32</t>
  </si>
  <si>
    <t>32-9-17</t>
  </si>
  <si>
    <t>32-10-20</t>
  </si>
  <si>
    <t>32-9-38</t>
  </si>
  <si>
    <t>32-4-40</t>
  </si>
  <si>
    <t>32-5-46</t>
  </si>
  <si>
    <t>32-6-51</t>
  </si>
  <si>
    <t>51-10-52</t>
  </si>
  <si>
    <t>51-14-40</t>
  </si>
  <si>
    <t>51-18-5</t>
  </si>
  <si>
    <t>51-14-17</t>
  </si>
  <si>
    <t>51-10-31</t>
  </si>
  <si>
    <t>51-11-37</t>
  </si>
  <si>
    <t>51-8-33</t>
  </si>
  <si>
    <t>51-3-44</t>
  </si>
  <si>
    <t>51-6-39</t>
  </si>
  <si>
    <t>51-8-48</t>
  </si>
  <si>
    <t>97-13-16</t>
  </si>
  <si>
    <t>97-14-37</t>
  </si>
  <si>
    <t>97-9-18</t>
  </si>
  <si>
    <t>97-10-41</t>
  </si>
  <si>
    <t>97-10-22</t>
  </si>
  <si>
    <t>97-2-31</t>
  </si>
  <si>
    <t>97-3-35</t>
  </si>
  <si>
    <t>97-6-50</t>
  </si>
  <si>
    <t>97-7-30</t>
  </si>
  <si>
    <t>97-7-34</t>
  </si>
  <si>
    <t>Total</t>
  </si>
  <si>
    <t>Predicted</t>
  </si>
  <si>
    <t>Correct</t>
  </si>
  <si>
    <t>Accuracy</t>
  </si>
  <si>
    <t>Medium</t>
  </si>
  <si>
    <t>Not Resistant</t>
  </si>
  <si>
    <t>Resistant</t>
  </si>
  <si>
    <t>Calibration</t>
  </si>
  <si>
    <t>Cross Val</t>
  </si>
  <si>
    <t>-</t>
  </si>
  <si>
    <t>By Resistance Level</t>
  </si>
  <si>
    <t>High Resistance %</t>
  </si>
  <si>
    <t>No Resistance %</t>
  </si>
  <si>
    <t>By Dataset</t>
  </si>
  <si>
    <t>Cross-Validation %</t>
  </si>
  <si>
    <t>By Evaluation Subset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</si>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</sst>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0" xfId="0" applyFill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1" fillId="0" borderId="5" xfId="0" applyFont="1" applyBorder="1"/>
    <xf numFmtId="0" fontId="2" fillId="0" borderId="2" xfId="0" applyFont="1" applyBorder="1" applyAlignment="1">
      <alignment horizontal="right"/>
    </xf>
    <xf numFmtId="0" fontId="0" fillId="0" borderId="2" xfId="0" applyBorder="1"/>
    <xf numFmtId="2" fontId="0" fillId="0" borderId="0" xfId="0" applyNumberFormat="1"/>
    <xf numFmtId="2" fontId="0" fillId="0" borderId="2" xfId="0" applyNumberFormat="1" applyBorder="1"/>
    <xf numFmtId="0" fontId="0" fillId="7" borderId="0" xfId="0" applyFill="1"/>
    <xf numFmtId="2" fontId="0" fillId="7" borderId="0" xfId="0" applyNumberFormat="1" applyFill="1"/>
    <xf numFmtId="2" fontId="0" fillId="0" borderId="0" xfId="0" applyNumberFormat="1" applyAlignment="1">
      <alignment horizontal="right"/>
    </xf>
    <xf numFmtId="0" fontId="2" fillId="7" borderId="0" xfId="0" applyFont="1" applyFill="1" applyAlignment="1">
      <alignment horizontal="right"/>
    </xf>
    <xf numFmtId="2" fontId="0" fillId="7" borderId="0" xfId="0" applyNumberFormat="1" applyFill="1" applyAlignment="1">
      <alignment horizontal="right"/>
    </xf>
    <xf numFmtId="2" fontId="0" fillId="0" borderId="2" xfId="0" applyNumberFormat="1" applyBorder="1" applyAlignment="1">
      <alignment horizontal="right"/>
    </xf>
    <xf numFmtId="0" fontId="1" fillId="0" borderId="6" xfId="0" applyFont="1" applyBorder="1"/>
    <xf numFmtId="2" fontId="0" fillId="7" borderId="7" xfId="0" applyNumberFormat="1" applyFill="1" applyBorder="1"/>
    <xf numFmtId="2" fontId="0" fillId="0" borderId="7" xfId="0" applyNumberFormat="1" applyBorder="1" applyAlignment="1">
      <alignment horizontal="right"/>
    </xf>
    <xf numFmtId="2" fontId="0" fillId="0" borderId="7" xfId="0" applyNumberFormat="1" applyBorder="1"/>
    <xf numFmtId="2" fontId="0" fillId="0" borderId="8" xfId="0" applyNumberFormat="1" applyBorder="1"/>
    <xf numFmtId="0" fontId="2" fillId="0" borderId="1" xfId="0" applyFont="1" applyBorder="1"/>
    <xf numFmtId="0" fontId="2" fillId="0" borderId="4" xfId="0" applyFont="1" applyBorder="1"/>
    <xf numFmtId="0" fontId="2" fillId="0" borderId="9" xfId="0" applyFont="1" applyBorder="1"/>
    <xf numFmtId="2" fontId="0" fillId="0" borderId="1" xfId="0" applyNumberFormat="1" applyBorder="1"/>
    <xf numFmtId="2" fontId="0" fillId="0" borderId="9" xfId="0" applyNumberFormat="1" applyBorder="1"/>
    <xf numFmtId="2" fontId="0" fillId="0" borderId="4" xfId="0" applyNumberFormat="1" applyBorder="1"/>
    <xf numFmtId="0" fontId="2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30"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29B70-48BD-4F23-B1F5-4C9DF9F5FB32}">
  <dimension ref="A1:I25"/>
  <sheetViews>
    <sheetView tabSelected="1" zoomScale="105" workbookViewId="0">
      <selection activeCell="G23" sqref="G23"/>
    </sheetView>
  </sheetViews>
  <sheetFormatPr defaultRowHeight="15" x14ac:dyDescent="0.25"/>
  <cols>
    <col min="1" max="1" width="18.42578125" customWidth="1"/>
    <col min="2" max="2" width="14" customWidth="1"/>
    <col min="3" max="3" width="12.5703125" customWidth="1"/>
    <col min="4" max="4" width="16.5703125" customWidth="1"/>
    <col min="6" max="6" width="19.140625" customWidth="1"/>
    <col min="7" max="7" width="14.28515625" customWidth="1"/>
    <col min="8" max="8" width="19.28515625" customWidth="1"/>
    <col min="9" max="9" width="18" customWidth="1"/>
  </cols>
  <sheetData>
    <row r="1" spans="1:9" x14ac:dyDescent="0.25">
      <c r="A1" s="13" t="s">
        <v>0</v>
      </c>
      <c r="B1" s="13" t="s">
        <v>1</v>
      </c>
      <c r="C1" s="13" t="s">
        <v>2</v>
      </c>
      <c r="D1" s="13" t="s">
        <v>3</v>
      </c>
      <c r="F1" s="13" t="s">
        <v>0</v>
      </c>
      <c r="G1" s="13" t="s">
        <v>4</v>
      </c>
      <c r="H1" s="13" t="s">
        <v>5</v>
      </c>
      <c r="I1" s="13" t="s">
        <v>6</v>
      </c>
    </row>
    <row r="2" spans="1:9" x14ac:dyDescent="0.25">
      <c r="A2" s="18" t="s">
        <v>7</v>
      </c>
      <c r="B2" s="19">
        <f>'3C'!N6/SUM('3C'!L6:N6)*100</f>
        <v>44.444444444444443</v>
      </c>
      <c r="C2" s="19">
        <f>'3C'!M5/SUM('3C'!L5:N5)*100</f>
        <v>5.5555555555555554</v>
      </c>
      <c r="D2" s="19">
        <f>'3C'!L4/SUM('3C'!L4:N4)*100</f>
        <v>61.111111111111114</v>
      </c>
      <c r="F2" s="18" t="s">
        <v>7</v>
      </c>
      <c r="G2" s="18">
        <v>78.81</v>
      </c>
      <c r="H2" s="18">
        <v>70.459999999999994</v>
      </c>
      <c r="I2" s="19">
        <f>'3C'!L7</f>
        <v>37.037037037037038</v>
      </c>
    </row>
    <row r="3" spans="1:9" x14ac:dyDescent="0.25">
      <c r="A3" t="s">
        <v>8</v>
      </c>
      <c r="B3" s="16">
        <f>'2C'!N6/SUM('2C'!L6,'2C'!N6) * 100</f>
        <v>61.111111111111114</v>
      </c>
      <c r="C3" s="20" t="s">
        <v>9</v>
      </c>
      <c r="D3" s="16">
        <f>100*'2C'!L4/SUM('2C'!L4,'2C'!N4)</f>
        <v>61.111111111111114</v>
      </c>
      <c r="F3" t="s">
        <v>8</v>
      </c>
      <c r="G3">
        <v>86.13</v>
      </c>
      <c r="H3">
        <v>83.66</v>
      </c>
      <c r="I3" s="16">
        <f>'2C'!L7</f>
        <v>61.111111111111114</v>
      </c>
    </row>
    <row r="4" spans="1:9" x14ac:dyDescent="0.25">
      <c r="A4" s="18" t="s">
        <v>10</v>
      </c>
      <c r="B4" s="19">
        <f>HM!N6/SUM(HM!L6:M6)</f>
        <v>0</v>
      </c>
      <c r="C4" s="19">
        <f>HM!M5/SUM(HM!L5:N5)*100</f>
        <v>61.111111111111114</v>
      </c>
      <c r="D4" s="19">
        <f>HM!L4/SUM(HM!L4:N4)*100</f>
        <v>33.333333333333329</v>
      </c>
      <c r="F4" s="18" t="s">
        <v>10</v>
      </c>
      <c r="G4" s="18" t="s">
        <v>101</v>
      </c>
      <c r="H4" s="18" t="s">
        <v>101</v>
      </c>
      <c r="I4" s="19">
        <f>HM!L7</f>
        <v>31.481481481481481</v>
      </c>
    </row>
    <row r="5" spans="1:9" x14ac:dyDescent="0.25">
      <c r="A5" s="12" t="s">
        <v>11</v>
      </c>
      <c r="B5" s="16">
        <f>A!M14/SUM(A!L14:M14) * 100</f>
        <v>66.666666666666657</v>
      </c>
      <c r="C5" s="16">
        <f>A!M13/18 * 100</f>
        <v>61.111111111111114</v>
      </c>
      <c r="D5" s="16">
        <f>A!L12/18 * 100</f>
        <v>38.888888888888893</v>
      </c>
      <c r="F5" s="12" t="s">
        <v>11</v>
      </c>
      <c r="G5">
        <v>83.56</v>
      </c>
      <c r="H5">
        <v>82.55</v>
      </c>
      <c r="I5" s="16">
        <f>A!L6</f>
        <v>55.555555555555557</v>
      </c>
    </row>
    <row r="6" spans="1:9" x14ac:dyDescent="0.25">
      <c r="A6" s="21" t="s">
        <v>12</v>
      </c>
      <c r="B6" s="19">
        <f>B!L4/18*100</f>
        <v>100</v>
      </c>
      <c r="C6" s="19">
        <f>B!M5/18 * 100</f>
        <v>0</v>
      </c>
      <c r="D6" s="22" t="s">
        <v>9</v>
      </c>
      <c r="F6" s="21" t="s">
        <v>12</v>
      </c>
      <c r="G6" s="18">
        <v>68.34</v>
      </c>
      <c r="H6" s="18">
        <v>65.319999999999993</v>
      </c>
      <c r="I6" s="19">
        <f>B!L6</f>
        <v>50</v>
      </c>
    </row>
    <row r="7" spans="1:9" x14ac:dyDescent="0.25">
      <c r="A7" s="14" t="s">
        <v>13</v>
      </c>
      <c r="B7" s="23" t="s">
        <v>9</v>
      </c>
      <c r="C7" s="17">
        <f>'C'!L4/18 *100</f>
        <v>55.555555555555557</v>
      </c>
      <c r="D7" s="17">
        <f>'C'!M5/18 * 100</f>
        <v>38.888888888888893</v>
      </c>
      <c r="F7" s="14" t="s">
        <v>13</v>
      </c>
      <c r="G7" s="15">
        <v>89.23</v>
      </c>
      <c r="H7" s="15">
        <v>81.03</v>
      </c>
      <c r="I7" s="17">
        <f>'C'!L6</f>
        <v>47.222222222222221</v>
      </c>
    </row>
    <row r="8" spans="1:9" x14ac:dyDescent="0.25">
      <c r="B8" s="11"/>
    </row>
    <row r="9" spans="1:9" x14ac:dyDescent="0.25">
      <c r="A9" s="13" t="s">
        <v>0</v>
      </c>
      <c r="B9" s="13" t="s">
        <v>14</v>
      </c>
      <c r="C9" s="24" t="s">
        <v>15</v>
      </c>
    </row>
    <row r="10" spans="1:9" x14ac:dyDescent="0.25">
      <c r="A10" s="18" t="s">
        <v>7</v>
      </c>
      <c r="B10" s="19">
        <f>'3C'!B7</f>
        <v>33.333333333333329</v>
      </c>
      <c r="C10" s="25">
        <f>'3C'!G7</f>
        <v>40.74074074074074</v>
      </c>
    </row>
    <row r="11" spans="1:9" x14ac:dyDescent="0.25">
      <c r="A11" t="s">
        <v>8</v>
      </c>
      <c r="B11" s="16">
        <f>'2C'!B7</f>
        <v>55.555555555555557</v>
      </c>
      <c r="C11" s="26">
        <f>'2C'!G7</f>
        <v>66.666666666666657</v>
      </c>
    </row>
    <row r="12" spans="1:9" x14ac:dyDescent="0.25">
      <c r="A12" s="18" t="s">
        <v>10</v>
      </c>
      <c r="B12" s="19">
        <f>HM!B7</f>
        <v>37.037037037037038</v>
      </c>
      <c r="C12" s="25">
        <f>HM!G7</f>
        <v>25.925925925925924</v>
      </c>
    </row>
    <row r="13" spans="1:9" x14ac:dyDescent="0.25">
      <c r="A13" s="12" t="s">
        <v>11</v>
      </c>
      <c r="B13" s="16">
        <f>A!B6</f>
        <v>62.962962962962962</v>
      </c>
      <c r="C13" s="27">
        <f>A!G6</f>
        <v>48.148148148148145</v>
      </c>
    </row>
    <row r="14" spans="1:9" x14ac:dyDescent="0.25">
      <c r="A14" s="21" t="s">
        <v>12</v>
      </c>
      <c r="B14" s="19">
        <f>B!B6</f>
        <v>50</v>
      </c>
      <c r="C14" s="25">
        <f>B!G6</f>
        <v>50</v>
      </c>
    </row>
    <row r="15" spans="1:9" x14ac:dyDescent="0.25">
      <c r="A15" s="14" t="s">
        <v>13</v>
      </c>
      <c r="B15" s="23">
        <f>'C'!B6</f>
        <v>55.555555555555557</v>
      </c>
      <c r="C15" s="28">
        <f>'C'!G6</f>
        <v>38.888888888888893</v>
      </c>
    </row>
    <row r="18" spans="1:9" x14ac:dyDescent="0.25">
      <c r="B18" s="36" t="s">
        <v>102</v>
      </c>
      <c r="C18" s="36"/>
      <c r="D18" s="38"/>
      <c r="E18" s="39" t="s">
        <v>105</v>
      </c>
      <c r="F18" s="36"/>
      <c r="G18" s="38"/>
      <c r="H18" s="40" t="s">
        <v>107</v>
      </c>
      <c r="I18" s="36"/>
    </row>
    <row r="19" spans="1:9" x14ac:dyDescent="0.25">
      <c r="A19" s="2" t="s">
        <v>0</v>
      </c>
      <c r="B19" s="29" t="s">
        <v>103</v>
      </c>
      <c r="C19" s="29" t="s">
        <v>2</v>
      </c>
      <c r="D19" s="31" t="s">
        <v>104</v>
      </c>
      <c r="E19" s="30" t="s">
        <v>4</v>
      </c>
      <c r="F19" s="29" t="s">
        <v>106</v>
      </c>
      <c r="G19" s="31" t="s">
        <v>6</v>
      </c>
      <c r="H19" s="30" t="s">
        <v>14</v>
      </c>
      <c r="I19" s="29" t="s">
        <v>15</v>
      </c>
    </row>
    <row r="20" spans="1:9" x14ac:dyDescent="0.25">
      <c r="A20" s="3" t="s">
        <v>7</v>
      </c>
      <c r="B20" s="32">
        <v>44.444444444444443</v>
      </c>
      <c r="C20" s="32">
        <v>5.5555555555555554</v>
      </c>
      <c r="D20" s="33">
        <v>61.111111111111114</v>
      </c>
      <c r="E20" s="34">
        <v>78.81</v>
      </c>
      <c r="F20" s="32">
        <v>70.459999999999994</v>
      </c>
      <c r="G20" s="33">
        <v>37.037037037037038</v>
      </c>
      <c r="H20" s="34">
        <v>33.333333333333329</v>
      </c>
      <c r="I20" s="32">
        <v>40.74074074074074</v>
      </c>
    </row>
    <row r="21" spans="1:9" x14ac:dyDescent="0.25">
      <c r="A21" s="3" t="s">
        <v>8</v>
      </c>
      <c r="B21" s="32">
        <v>61.111111111111114</v>
      </c>
      <c r="C21" s="32" t="s">
        <v>101</v>
      </c>
      <c r="D21" s="33">
        <v>61.111111111111114</v>
      </c>
      <c r="E21" s="34">
        <v>86.13</v>
      </c>
      <c r="F21" s="32">
        <v>83.66</v>
      </c>
      <c r="G21" s="33">
        <v>61.111111111111114</v>
      </c>
      <c r="H21" s="34">
        <v>55.555555555555557</v>
      </c>
      <c r="I21" s="32">
        <v>66.666666666666657</v>
      </c>
    </row>
    <row r="22" spans="1:9" x14ac:dyDescent="0.25">
      <c r="A22" s="3" t="s">
        <v>10</v>
      </c>
      <c r="B22" s="32">
        <v>0</v>
      </c>
      <c r="C22" s="32">
        <v>61.111111111111114</v>
      </c>
      <c r="D22" s="33">
        <v>33.333333333333329</v>
      </c>
      <c r="E22" s="34" t="s">
        <v>101</v>
      </c>
      <c r="F22" s="32" t="s">
        <v>101</v>
      </c>
      <c r="G22" s="33">
        <v>31.481481481481481</v>
      </c>
      <c r="H22" s="34">
        <v>37.037037037037038</v>
      </c>
      <c r="I22" s="32">
        <v>25.925925925925924</v>
      </c>
    </row>
    <row r="23" spans="1:9" x14ac:dyDescent="0.25">
      <c r="A23" s="35" t="s">
        <v>11</v>
      </c>
      <c r="B23" s="32">
        <v>66.666666666666657</v>
      </c>
      <c r="C23" s="32">
        <v>61.111111111111114</v>
      </c>
      <c r="D23" s="33">
        <v>38.888888888888893</v>
      </c>
      <c r="E23" s="34">
        <v>83.56</v>
      </c>
      <c r="F23" s="32">
        <v>82.55</v>
      </c>
      <c r="G23" s="33">
        <v>55.555555555555557</v>
      </c>
      <c r="H23" s="34">
        <v>62.962962962962962</v>
      </c>
      <c r="I23" s="32">
        <v>48.148148148148145</v>
      </c>
    </row>
    <row r="24" spans="1:9" x14ac:dyDescent="0.25">
      <c r="A24" s="35" t="s">
        <v>12</v>
      </c>
      <c r="B24" s="32">
        <v>100</v>
      </c>
      <c r="C24" s="32">
        <v>0</v>
      </c>
      <c r="D24" s="33" t="s">
        <v>101</v>
      </c>
      <c r="E24" s="34">
        <v>68.34</v>
      </c>
      <c r="F24" s="32">
        <v>65.319999999999993</v>
      </c>
      <c r="G24" s="33">
        <v>50</v>
      </c>
      <c r="H24" s="34">
        <v>50</v>
      </c>
      <c r="I24" s="32">
        <v>50</v>
      </c>
    </row>
    <row r="25" spans="1:9" x14ac:dyDescent="0.25">
      <c r="A25" s="35" t="s">
        <v>13</v>
      </c>
      <c r="B25" s="32" t="s">
        <v>101</v>
      </c>
      <c r="C25" s="32">
        <v>55.555555555555557</v>
      </c>
      <c r="D25" s="33">
        <v>38.888888888888893</v>
      </c>
      <c r="E25" s="34">
        <v>89.23</v>
      </c>
      <c r="F25" s="32">
        <v>81.03</v>
      </c>
      <c r="G25" s="33">
        <v>47.222222222222221</v>
      </c>
      <c r="H25" s="34">
        <v>55.555555555555557</v>
      </c>
      <c r="I25" s="32">
        <v>38.888888888888893</v>
      </c>
    </row>
  </sheetData>
  <mergeCells count="3">
    <mergeCell ref="B18:D18"/>
    <mergeCell ref="E18:G18"/>
    <mergeCell ref="H18:I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663B-EA73-4BE0-B209-71DF6DC2D0B1}">
  <dimension ref="A1:Q61"/>
  <sheetViews>
    <sheetView workbookViewId="0">
      <selection activeCell="L23" sqref="L23"/>
    </sheetView>
  </sheetViews>
  <sheetFormatPr defaultRowHeight="15" x14ac:dyDescent="0.25"/>
  <cols>
    <col min="1" max="1" width="18.42578125" customWidth="1"/>
    <col min="2" max="2" width="10.28515625" customWidth="1"/>
    <col min="3" max="3" width="8.140625" customWidth="1"/>
    <col min="9" max="9" width="9.140625" customWidth="1"/>
  </cols>
  <sheetData>
    <row r="1" spans="1:17" s="1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11</v>
      </c>
      <c r="G1" s="2" t="s">
        <v>13</v>
      </c>
      <c r="H1" s="2" t="s">
        <v>12</v>
      </c>
      <c r="I1" s="2" t="s">
        <v>21</v>
      </c>
      <c r="K1" s="2" t="s">
        <v>22</v>
      </c>
      <c r="L1" s="6"/>
      <c r="O1" s="2" t="s">
        <v>16</v>
      </c>
      <c r="P1" s="2" t="s">
        <v>17</v>
      </c>
      <c r="Q1" s="1" t="s">
        <v>23</v>
      </c>
    </row>
    <row r="2" spans="1:17" x14ac:dyDescent="0.25">
      <c r="A2" s="3" t="s">
        <v>24</v>
      </c>
      <c r="B2" s="3" t="s">
        <v>25</v>
      </c>
      <c r="C2" s="3" t="s">
        <v>12</v>
      </c>
      <c r="D2" s="3" t="s">
        <v>25</v>
      </c>
      <c r="E2" s="3" t="s">
        <v>25</v>
      </c>
      <c r="F2" s="3" t="s">
        <v>25</v>
      </c>
      <c r="G2" s="3" t="s">
        <v>25</v>
      </c>
      <c r="H2" s="3" t="s">
        <v>26</v>
      </c>
      <c r="I2" s="3" t="s">
        <v>27</v>
      </c>
      <c r="K2" s="3">
        <v>97</v>
      </c>
      <c r="L2" s="3" t="s">
        <v>28</v>
      </c>
      <c r="O2" s="3" t="s">
        <v>24</v>
      </c>
      <c r="P2" s="3" t="s">
        <v>25</v>
      </c>
      <c r="Q2" s="3" t="s">
        <v>25</v>
      </c>
    </row>
    <row r="3" spans="1:17" x14ac:dyDescent="0.25">
      <c r="A3" s="3" t="s">
        <v>29</v>
      </c>
      <c r="B3" s="3" t="s">
        <v>25</v>
      </c>
      <c r="C3" s="3"/>
      <c r="D3" s="3" t="s">
        <v>25</v>
      </c>
      <c r="E3" s="3" t="s">
        <v>25</v>
      </c>
      <c r="F3" s="3" t="s">
        <v>25</v>
      </c>
      <c r="G3" s="3" t="s">
        <v>25</v>
      </c>
      <c r="H3" s="3" t="s">
        <v>26</v>
      </c>
      <c r="I3" s="3" t="s">
        <v>27</v>
      </c>
      <c r="K3" s="3">
        <v>121</v>
      </c>
      <c r="L3" s="3" t="s">
        <v>25</v>
      </c>
      <c r="O3" s="3" t="s">
        <v>29</v>
      </c>
      <c r="P3" s="3" t="s">
        <v>25</v>
      </c>
      <c r="Q3" s="3" t="s">
        <v>25</v>
      </c>
    </row>
    <row r="4" spans="1:17" x14ac:dyDescent="0.25">
      <c r="A4" s="3" t="s">
        <v>30</v>
      </c>
      <c r="B4" s="3" t="s">
        <v>25</v>
      </c>
      <c r="C4" s="3" t="s">
        <v>12</v>
      </c>
      <c r="D4" s="3" t="s">
        <v>28</v>
      </c>
      <c r="E4" s="3" t="s">
        <v>28</v>
      </c>
      <c r="F4" s="3" t="s">
        <v>31</v>
      </c>
      <c r="G4" s="3" t="s">
        <v>26</v>
      </c>
      <c r="H4" s="3" t="s">
        <v>26</v>
      </c>
      <c r="I4" s="3" t="s">
        <v>27</v>
      </c>
      <c r="K4" s="3">
        <v>51</v>
      </c>
      <c r="L4" s="3" t="s">
        <v>26</v>
      </c>
      <c r="O4" s="3" t="s">
        <v>30</v>
      </c>
      <c r="P4" s="3" t="s">
        <v>25</v>
      </c>
      <c r="Q4" s="3" t="s">
        <v>26</v>
      </c>
    </row>
    <row r="5" spans="1:17" x14ac:dyDescent="0.25">
      <c r="A5" s="3" t="s">
        <v>32</v>
      </c>
      <c r="B5" s="3" t="s">
        <v>25</v>
      </c>
      <c r="C5" s="3" t="s">
        <v>12</v>
      </c>
      <c r="D5" s="3" t="s">
        <v>28</v>
      </c>
      <c r="E5" s="3" t="s">
        <v>28</v>
      </c>
      <c r="F5" s="3" t="s">
        <v>31</v>
      </c>
      <c r="G5" s="3" t="s">
        <v>26</v>
      </c>
      <c r="H5" s="3" t="s">
        <v>26</v>
      </c>
      <c r="I5" s="3" t="s">
        <v>27</v>
      </c>
      <c r="O5" s="3" t="s">
        <v>32</v>
      </c>
      <c r="P5" s="3" t="s">
        <v>25</v>
      </c>
      <c r="Q5" s="3" t="s">
        <v>26</v>
      </c>
    </row>
    <row r="6" spans="1:17" x14ac:dyDescent="0.25">
      <c r="A6" s="3" t="s">
        <v>33</v>
      </c>
      <c r="B6" s="4"/>
      <c r="C6" s="4"/>
      <c r="D6" s="4"/>
      <c r="E6" s="4"/>
      <c r="F6" s="4"/>
      <c r="G6" s="9"/>
      <c r="H6" s="4"/>
      <c r="I6" s="4"/>
      <c r="K6" s="36" t="s">
        <v>34</v>
      </c>
      <c r="L6" s="36"/>
      <c r="O6" s="3" t="s">
        <v>33</v>
      </c>
      <c r="P6" s="4"/>
      <c r="Q6" s="4" t="s">
        <v>27</v>
      </c>
    </row>
    <row r="7" spans="1:17" x14ac:dyDescent="0.25">
      <c r="A7" s="3" t="s">
        <v>35</v>
      </c>
      <c r="B7" s="3" t="s">
        <v>25</v>
      </c>
      <c r="C7" s="3"/>
      <c r="D7" s="3" t="s">
        <v>25</v>
      </c>
      <c r="E7" s="3" t="s">
        <v>25</v>
      </c>
      <c r="F7" s="3" t="s">
        <v>25</v>
      </c>
      <c r="G7" s="3" t="s">
        <v>25</v>
      </c>
      <c r="H7" s="3" t="s">
        <v>26</v>
      </c>
      <c r="I7" s="3" t="s">
        <v>27</v>
      </c>
      <c r="K7" s="3">
        <v>32</v>
      </c>
      <c r="L7" s="3" t="s">
        <v>28</v>
      </c>
      <c r="O7" s="3" t="s">
        <v>35</v>
      </c>
      <c r="P7" s="3" t="s">
        <v>25</v>
      </c>
      <c r="Q7" s="3" t="s">
        <v>25</v>
      </c>
    </row>
    <row r="8" spans="1:17" x14ac:dyDescent="0.25">
      <c r="A8" s="3" t="s">
        <v>36</v>
      </c>
      <c r="B8" s="3" t="s">
        <v>25</v>
      </c>
      <c r="C8" s="3"/>
      <c r="D8" s="3" t="s">
        <v>28</v>
      </c>
      <c r="E8" s="3" t="s">
        <v>28</v>
      </c>
      <c r="F8" s="3" t="s">
        <v>31</v>
      </c>
      <c r="G8" s="3" t="s">
        <v>26</v>
      </c>
      <c r="H8" s="3" t="s">
        <v>26</v>
      </c>
      <c r="I8" s="3" t="s">
        <v>27</v>
      </c>
      <c r="K8" s="3">
        <v>24</v>
      </c>
      <c r="L8" s="3" t="s">
        <v>25</v>
      </c>
      <c r="O8" s="3" t="s">
        <v>36</v>
      </c>
      <c r="P8" s="3" t="s">
        <v>25</v>
      </c>
      <c r="Q8" s="3" t="s">
        <v>26</v>
      </c>
    </row>
    <row r="9" spans="1:17" x14ac:dyDescent="0.25">
      <c r="A9" s="3" t="s">
        <v>37</v>
      </c>
      <c r="B9" s="3" t="s">
        <v>25</v>
      </c>
      <c r="C9" s="3" t="s">
        <v>12</v>
      </c>
      <c r="D9" s="3" t="s">
        <v>25</v>
      </c>
      <c r="E9" s="3" t="s">
        <v>25</v>
      </c>
      <c r="F9" s="3" t="s">
        <v>31</v>
      </c>
      <c r="G9" s="3" t="s">
        <v>26</v>
      </c>
      <c r="H9" s="3" t="s">
        <v>26</v>
      </c>
      <c r="I9" s="3" t="s">
        <v>27</v>
      </c>
      <c r="K9" s="3">
        <v>131</v>
      </c>
      <c r="L9" s="3" t="s">
        <v>26</v>
      </c>
      <c r="O9" s="3" t="s">
        <v>37</v>
      </c>
      <c r="P9" s="3" t="s">
        <v>25</v>
      </c>
      <c r="Q9" s="3" t="s">
        <v>26</v>
      </c>
    </row>
    <row r="10" spans="1:17" x14ac:dyDescent="0.25">
      <c r="A10" s="3" t="s">
        <v>38</v>
      </c>
      <c r="B10" s="3" t="s">
        <v>25</v>
      </c>
      <c r="C10" s="3" t="s">
        <v>12</v>
      </c>
      <c r="D10" s="3" t="s">
        <v>28</v>
      </c>
      <c r="E10" s="3" t="s">
        <v>28</v>
      </c>
      <c r="F10" s="3" t="s">
        <v>31</v>
      </c>
      <c r="G10" s="3" t="s">
        <v>26</v>
      </c>
      <c r="H10" s="3" t="s">
        <v>26</v>
      </c>
      <c r="I10" s="3" t="s">
        <v>27</v>
      </c>
      <c r="O10" s="3" t="s">
        <v>38</v>
      </c>
      <c r="P10" s="3" t="s">
        <v>25</v>
      </c>
      <c r="Q10" s="3" t="s">
        <v>26</v>
      </c>
    </row>
    <row r="11" spans="1:17" x14ac:dyDescent="0.25">
      <c r="A11" s="3" t="s">
        <v>39</v>
      </c>
      <c r="B11" s="3" t="s">
        <v>25</v>
      </c>
      <c r="C11" s="3"/>
      <c r="D11" s="3" t="s">
        <v>28</v>
      </c>
      <c r="E11" s="3" t="s">
        <v>28</v>
      </c>
      <c r="F11" s="3" t="s">
        <v>31</v>
      </c>
      <c r="G11" s="3" t="s">
        <v>25</v>
      </c>
      <c r="H11" s="3" t="s">
        <v>26</v>
      </c>
      <c r="I11" s="3" t="s">
        <v>27</v>
      </c>
      <c r="K11" t="s">
        <v>40</v>
      </c>
      <c r="O11" s="3" t="s">
        <v>39</v>
      </c>
      <c r="P11" s="3" t="s">
        <v>25</v>
      </c>
      <c r="Q11" s="3" t="s">
        <v>26</v>
      </c>
    </row>
    <row r="12" spans="1:17" x14ac:dyDescent="0.25">
      <c r="A12" s="3" t="s">
        <v>41</v>
      </c>
      <c r="B12" s="3" t="s">
        <v>26</v>
      </c>
      <c r="C12" s="3" t="s">
        <v>12</v>
      </c>
      <c r="D12" s="3" t="s">
        <v>28</v>
      </c>
      <c r="E12" s="3" t="s">
        <v>28</v>
      </c>
      <c r="F12" s="3" t="s">
        <v>31</v>
      </c>
      <c r="G12" s="3" t="s">
        <v>26</v>
      </c>
      <c r="H12" s="3" t="s">
        <v>26</v>
      </c>
      <c r="I12" s="3" t="s">
        <v>27</v>
      </c>
      <c r="O12" s="3" t="s">
        <v>41</v>
      </c>
      <c r="P12" s="3" t="s">
        <v>26</v>
      </c>
      <c r="Q12" s="3" t="s">
        <v>26</v>
      </c>
    </row>
    <row r="13" spans="1:17" x14ac:dyDescent="0.25">
      <c r="A13" s="3" t="s">
        <v>42</v>
      </c>
      <c r="B13" s="3" t="s">
        <v>26</v>
      </c>
      <c r="C13" s="3" t="s">
        <v>12</v>
      </c>
      <c r="D13" s="3" t="s">
        <v>25</v>
      </c>
      <c r="E13" s="3" t="s">
        <v>25</v>
      </c>
      <c r="F13" s="3" t="s">
        <v>25</v>
      </c>
      <c r="G13" s="3" t="s">
        <v>25</v>
      </c>
      <c r="H13" s="3" t="s">
        <v>26</v>
      </c>
      <c r="I13" s="3" t="s">
        <v>27</v>
      </c>
      <c r="O13" s="3" t="s">
        <v>42</v>
      </c>
      <c r="P13" s="3" t="s">
        <v>26</v>
      </c>
      <c r="Q13" s="3" t="s">
        <v>25</v>
      </c>
    </row>
    <row r="14" spans="1:17" x14ac:dyDescent="0.25">
      <c r="A14" s="3" t="s">
        <v>43</v>
      </c>
      <c r="B14" s="3" t="s">
        <v>26</v>
      </c>
      <c r="C14" s="3" t="s">
        <v>12</v>
      </c>
      <c r="D14" s="3" t="s">
        <v>25</v>
      </c>
      <c r="E14" s="3" t="s">
        <v>25</v>
      </c>
      <c r="F14" s="3" t="s">
        <v>25</v>
      </c>
      <c r="G14" s="3" t="s">
        <v>25</v>
      </c>
      <c r="H14" s="3" t="s">
        <v>26</v>
      </c>
      <c r="I14" s="3" t="s">
        <v>27</v>
      </c>
      <c r="O14" s="3" t="s">
        <v>43</v>
      </c>
      <c r="P14" s="3" t="s">
        <v>26</v>
      </c>
      <c r="Q14" s="3" t="s">
        <v>25</v>
      </c>
    </row>
    <row r="15" spans="1:17" x14ac:dyDescent="0.25">
      <c r="A15" s="3" t="s">
        <v>44</v>
      </c>
      <c r="B15" s="3" t="s">
        <v>26</v>
      </c>
      <c r="C15" s="3" t="s">
        <v>45</v>
      </c>
      <c r="D15" s="3" t="s">
        <v>25</v>
      </c>
      <c r="E15" s="3" t="s">
        <v>25</v>
      </c>
      <c r="F15" s="3" t="s">
        <v>25</v>
      </c>
      <c r="G15" s="3" t="s">
        <v>25</v>
      </c>
      <c r="H15" s="3" t="s">
        <v>26</v>
      </c>
      <c r="I15" s="3" t="s">
        <v>27</v>
      </c>
      <c r="O15" s="3" t="s">
        <v>44</v>
      </c>
      <c r="P15" s="3" t="s">
        <v>26</v>
      </c>
      <c r="Q15" s="3" t="s">
        <v>25</v>
      </c>
    </row>
    <row r="16" spans="1:17" x14ac:dyDescent="0.25">
      <c r="A16" s="3" t="s">
        <v>46</v>
      </c>
      <c r="B16" s="3" t="s">
        <v>26</v>
      </c>
      <c r="C16" s="3" t="s">
        <v>12</v>
      </c>
      <c r="D16" s="3" t="s">
        <v>25</v>
      </c>
      <c r="E16" s="3" t="s">
        <v>25</v>
      </c>
      <c r="F16" s="3" t="s">
        <v>25</v>
      </c>
      <c r="G16" s="3" t="s">
        <v>25</v>
      </c>
      <c r="H16" s="3" t="s">
        <v>26</v>
      </c>
      <c r="I16" s="3" t="s">
        <v>27</v>
      </c>
      <c r="O16" s="3" t="s">
        <v>46</v>
      </c>
      <c r="P16" s="3" t="s">
        <v>26</v>
      </c>
      <c r="Q16" s="3" t="s">
        <v>25</v>
      </c>
    </row>
    <row r="17" spans="1:17" x14ac:dyDescent="0.25">
      <c r="A17" s="3" t="s">
        <v>47</v>
      </c>
      <c r="B17" s="9" t="s">
        <v>26</v>
      </c>
      <c r="C17" s="9"/>
      <c r="D17" s="9"/>
      <c r="E17" s="9"/>
      <c r="F17" s="9"/>
      <c r="G17" s="9"/>
      <c r="H17" s="9"/>
      <c r="I17" s="9" t="s">
        <v>27</v>
      </c>
      <c r="O17" s="3" t="s">
        <v>47</v>
      </c>
      <c r="P17" s="9" t="s">
        <v>26</v>
      </c>
      <c r="Q17" s="10"/>
    </row>
    <row r="18" spans="1:17" x14ac:dyDescent="0.25">
      <c r="A18" s="3" t="s">
        <v>48</v>
      </c>
      <c r="B18" s="3" t="s">
        <v>26</v>
      </c>
      <c r="C18" s="3"/>
      <c r="D18" s="3" t="s">
        <v>28</v>
      </c>
      <c r="E18" s="3" t="s">
        <v>28</v>
      </c>
      <c r="F18" s="3" t="s">
        <v>31</v>
      </c>
      <c r="G18" s="3" t="s">
        <v>26</v>
      </c>
      <c r="H18" s="3" t="s">
        <v>26</v>
      </c>
      <c r="I18" s="3" t="s">
        <v>27</v>
      </c>
      <c r="O18" s="3" t="s">
        <v>48</v>
      </c>
      <c r="P18" s="3" t="s">
        <v>26</v>
      </c>
      <c r="Q18" s="3" t="s">
        <v>26</v>
      </c>
    </row>
    <row r="19" spans="1:17" x14ac:dyDescent="0.25">
      <c r="A19" s="3" t="s">
        <v>49</v>
      </c>
      <c r="B19" s="3" t="s">
        <v>26</v>
      </c>
      <c r="C19" s="3" t="s">
        <v>45</v>
      </c>
      <c r="D19" s="3" t="s">
        <v>28</v>
      </c>
      <c r="E19" s="3" t="s">
        <v>28</v>
      </c>
      <c r="F19" s="3" t="s">
        <v>31</v>
      </c>
      <c r="G19" s="3" t="s">
        <v>26</v>
      </c>
      <c r="H19" s="3" t="s">
        <v>26</v>
      </c>
      <c r="I19" s="3" t="s">
        <v>27</v>
      </c>
      <c r="O19" s="3" t="s">
        <v>49</v>
      </c>
      <c r="P19" s="3" t="s">
        <v>26</v>
      </c>
      <c r="Q19" s="3" t="s">
        <v>26</v>
      </c>
    </row>
    <row r="20" spans="1:17" x14ac:dyDescent="0.25">
      <c r="A20" s="3" t="s">
        <v>50</v>
      </c>
      <c r="B20" s="3" t="s">
        <v>26</v>
      </c>
      <c r="C20" s="3"/>
      <c r="D20" s="3" t="s">
        <v>25</v>
      </c>
      <c r="E20" s="3" t="s">
        <v>25</v>
      </c>
      <c r="F20" s="3" t="s">
        <v>25</v>
      </c>
      <c r="G20" s="3" t="s">
        <v>25</v>
      </c>
      <c r="H20" s="3" t="s">
        <v>26</v>
      </c>
      <c r="I20" s="3" t="s">
        <v>27</v>
      </c>
      <c r="O20" s="3" t="s">
        <v>50</v>
      </c>
      <c r="P20" s="3" t="s">
        <v>26</v>
      </c>
      <c r="Q20" s="3" t="s">
        <v>25</v>
      </c>
    </row>
    <row r="21" spans="1:17" x14ac:dyDescent="0.25">
      <c r="A21" s="3" t="s">
        <v>51</v>
      </c>
      <c r="B21" s="3" t="s">
        <v>26</v>
      </c>
      <c r="C21" s="3"/>
      <c r="D21" s="3" t="s">
        <v>28</v>
      </c>
      <c r="E21" s="3" t="s">
        <v>28</v>
      </c>
      <c r="F21" s="3" t="s">
        <v>31</v>
      </c>
      <c r="G21" s="3" t="s">
        <v>26</v>
      </c>
      <c r="H21" s="3" t="s">
        <v>26</v>
      </c>
      <c r="I21" s="3" t="s">
        <v>27</v>
      </c>
      <c r="O21" s="3" t="s">
        <v>51</v>
      </c>
      <c r="P21" s="3" t="s">
        <v>26</v>
      </c>
      <c r="Q21" s="3" t="s">
        <v>26</v>
      </c>
    </row>
    <row r="22" spans="1:17" x14ac:dyDescent="0.25">
      <c r="A22" s="3" t="s">
        <v>52</v>
      </c>
      <c r="B22" s="3" t="s">
        <v>25</v>
      </c>
      <c r="C22" s="3" t="s">
        <v>12</v>
      </c>
      <c r="D22" s="3" t="s">
        <v>25</v>
      </c>
      <c r="E22" s="3" t="s">
        <v>25</v>
      </c>
      <c r="F22" s="3" t="s">
        <v>31</v>
      </c>
      <c r="G22" s="3" t="s">
        <v>26</v>
      </c>
      <c r="H22" s="3" t="s">
        <v>26</v>
      </c>
      <c r="I22" s="3" t="s">
        <v>27</v>
      </c>
      <c r="O22" s="3" t="s">
        <v>52</v>
      </c>
      <c r="P22" s="3" t="s">
        <v>25</v>
      </c>
      <c r="Q22" s="3" t="s">
        <v>26</v>
      </c>
    </row>
    <row r="23" spans="1:17" x14ac:dyDescent="0.25">
      <c r="A23" s="3" t="s">
        <v>53</v>
      </c>
      <c r="B23" s="4" t="s">
        <v>25</v>
      </c>
      <c r="C23" s="4"/>
      <c r="D23" s="4"/>
      <c r="E23" s="4"/>
      <c r="F23" s="4"/>
      <c r="G23" s="4"/>
      <c r="H23" s="4"/>
      <c r="I23" s="4" t="s">
        <v>27</v>
      </c>
      <c r="O23" s="3" t="s">
        <v>53</v>
      </c>
      <c r="P23" s="4" t="s">
        <v>25</v>
      </c>
      <c r="Q23" s="4" t="s">
        <v>27</v>
      </c>
    </row>
    <row r="24" spans="1:17" x14ac:dyDescent="0.25">
      <c r="A24" s="3" t="s">
        <v>54</v>
      </c>
      <c r="B24" s="3" t="s">
        <v>25</v>
      </c>
      <c r="C24" s="3" t="s">
        <v>12</v>
      </c>
      <c r="D24" s="3" t="s">
        <v>25</v>
      </c>
      <c r="E24" s="3" t="s">
        <v>25</v>
      </c>
      <c r="F24" s="3" t="s">
        <v>25</v>
      </c>
      <c r="G24" s="3" t="s">
        <v>25</v>
      </c>
      <c r="H24" s="3" t="s">
        <v>26</v>
      </c>
      <c r="I24" s="3" t="s">
        <v>27</v>
      </c>
      <c r="O24" s="3" t="s">
        <v>54</v>
      </c>
      <c r="P24" s="3" t="s">
        <v>25</v>
      </c>
      <c r="Q24" s="3" t="s">
        <v>25</v>
      </c>
    </row>
    <row r="25" spans="1:17" x14ac:dyDescent="0.25">
      <c r="A25" s="3" t="s">
        <v>55</v>
      </c>
      <c r="B25" s="3" t="s">
        <v>25</v>
      </c>
      <c r="C25" s="3" t="s">
        <v>12</v>
      </c>
      <c r="D25" s="3" t="s">
        <v>25</v>
      </c>
      <c r="E25" s="3" t="s">
        <v>25</v>
      </c>
      <c r="F25" s="3" t="s">
        <v>25</v>
      </c>
      <c r="G25" s="3" t="s">
        <v>26</v>
      </c>
      <c r="H25" s="3" t="s">
        <v>26</v>
      </c>
      <c r="I25" s="3" t="s">
        <v>27</v>
      </c>
      <c r="O25" s="3" t="s">
        <v>55</v>
      </c>
      <c r="P25" s="3" t="s">
        <v>25</v>
      </c>
      <c r="Q25" s="3" t="s">
        <v>26</v>
      </c>
    </row>
    <row r="26" spans="1:17" x14ac:dyDescent="0.25">
      <c r="A26" s="3" t="s">
        <v>56</v>
      </c>
      <c r="B26" s="3" t="s">
        <v>25</v>
      </c>
      <c r="C26" s="3" t="s">
        <v>12</v>
      </c>
      <c r="D26" s="3" t="s">
        <v>26</v>
      </c>
      <c r="E26" s="3" t="s">
        <v>28</v>
      </c>
      <c r="F26" s="3" t="s">
        <v>31</v>
      </c>
      <c r="G26" s="3" t="s">
        <v>26</v>
      </c>
      <c r="H26" s="3" t="s">
        <v>26</v>
      </c>
      <c r="I26" s="3" t="s">
        <v>27</v>
      </c>
      <c r="O26" s="3" t="s">
        <v>56</v>
      </c>
      <c r="P26" s="3" t="s">
        <v>25</v>
      </c>
      <c r="Q26" s="3" t="s">
        <v>26</v>
      </c>
    </row>
    <row r="27" spans="1:17" x14ac:dyDescent="0.25">
      <c r="A27" s="3" t="s">
        <v>57</v>
      </c>
      <c r="B27" s="3" t="s">
        <v>25</v>
      </c>
      <c r="C27" s="3" t="s">
        <v>45</v>
      </c>
      <c r="D27" s="3" t="s">
        <v>25</v>
      </c>
      <c r="E27" s="3" t="s">
        <v>25</v>
      </c>
      <c r="F27" s="3" t="s">
        <v>31</v>
      </c>
      <c r="G27" s="3" t="s">
        <v>26</v>
      </c>
      <c r="H27" s="3" t="s">
        <v>26</v>
      </c>
      <c r="I27" s="3" t="s">
        <v>27</v>
      </c>
      <c r="O27" s="3" t="s">
        <v>57</v>
      </c>
      <c r="P27" s="3" t="s">
        <v>25</v>
      </c>
      <c r="Q27" s="3" t="s">
        <v>26</v>
      </c>
    </row>
    <row r="28" spans="1:17" x14ac:dyDescent="0.25">
      <c r="A28" s="3" t="s">
        <v>58</v>
      </c>
      <c r="B28" s="3" t="s">
        <v>25</v>
      </c>
      <c r="C28" s="3" t="s">
        <v>12</v>
      </c>
      <c r="D28" s="3" t="s">
        <v>25</v>
      </c>
      <c r="E28" s="3" t="s">
        <v>25</v>
      </c>
      <c r="F28" s="3" t="s">
        <v>25</v>
      </c>
      <c r="G28" s="3" t="s">
        <v>25</v>
      </c>
      <c r="H28" s="3" t="s">
        <v>26</v>
      </c>
      <c r="I28" s="3" t="s">
        <v>27</v>
      </c>
      <c r="O28" s="3" t="s">
        <v>58</v>
      </c>
      <c r="P28" s="3" t="s">
        <v>25</v>
      </c>
      <c r="Q28" s="3" t="s">
        <v>25</v>
      </c>
    </row>
    <row r="29" spans="1:17" x14ac:dyDescent="0.25">
      <c r="A29" s="3" t="s">
        <v>59</v>
      </c>
      <c r="B29" s="3" t="s">
        <v>25</v>
      </c>
      <c r="C29" s="3"/>
      <c r="D29" s="3" t="s">
        <v>25</v>
      </c>
      <c r="E29" s="3" t="s">
        <v>25</v>
      </c>
      <c r="F29" s="3" t="s">
        <v>31</v>
      </c>
      <c r="G29" s="3" t="s">
        <v>26</v>
      </c>
      <c r="H29" s="3" t="s">
        <v>26</v>
      </c>
      <c r="I29" s="3" t="s">
        <v>27</v>
      </c>
      <c r="O29" s="3" t="s">
        <v>59</v>
      </c>
      <c r="P29" s="3" t="s">
        <v>25</v>
      </c>
      <c r="Q29" s="3" t="s">
        <v>26</v>
      </c>
    </row>
    <row r="30" spans="1:17" x14ac:dyDescent="0.25">
      <c r="A30" s="3" t="s">
        <v>60</v>
      </c>
      <c r="B30" s="3" t="s">
        <v>25</v>
      </c>
      <c r="C30" s="3" t="s">
        <v>12</v>
      </c>
      <c r="D30" s="3" t="s">
        <v>25</v>
      </c>
      <c r="E30" s="3" t="s">
        <v>25</v>
      </c>
      <c r="F30" s="3" t="s">
        <v>25</v>
      </c>
      <c r="G30" s="3" t="s">
        <v>25</v>
      </c>
      <c r="H30" s="3" t="s">
        <v>26</v>
      </c>
      <c r="I30" s="3" t="s">
        <v>27</v>
      </c>
      <c r="O30" s="3" t="s">
        <v>60</v>
      </c>
      <c r="P30" s="3" t="s">
        <v>25</v>
      </c>
      <c r="Q30" s="3" t="s">
        <v>25</v>
      </c>
    </row>
    <row r="31" spans="1:17" x14ac:dyDescent="0.25">
      <c r="A31" s="3" t="s">
        <v>61</v>
      </c>
      <c r="B31" s="3" t="s">
        <v>25</v>
      </c>
      <c r="C31" s="3" t="s">
        <v>45</v>
      </c>
      <c r="D31" s="3" t="s">
        <v>28</v>
      </c>
      <c r="E31" s="3" t="s">
        <v>28</v>
      </c>
      <c r="F31" s="3" t="s">
        <v>31</v>
      </c>
      <c r="G31" s="3" t="s">
        <v>26</v>
      </c>
      <c r="H31" s="3" t="s">
        <v>26</v>
      </c>
      <c r="I31" s="3" t="s">
        <v>27</v>
      </c>
      <c r="O31" s="3" t="s">
        <v>61</v>
      </c>
      <c r="P31" s="3" t="s">
        <v>25</v>
      </c>
      <c r="Q31" s="3" t="s">
        <v>26</v>
      </c>
    </row>
    <row r="32" spans="1:17" x14ac:dyDescent="0.25">
      <c r="A32" s="3" t="s">
        <v>62</v>
      </c>
      <c r="B32" s="3" t="s">
        <v>28</v>
      </c>
      <c r="C32" s="3" t="s">
        <v>12</v>
      </c>
      <c r="D32" s="3" t="s">
        <v>28</v>
      </c>
      <c r="E32" s="3" t="s">
        <v>28</v>
      </c>
      <c r="F32" s="3" t="s">
        <v>31</v>
      </c>
      <c r="G32" s="3" t="s">
        <v>26</v>
      </c>
      <c r="H32" s="3" t="s">
        <v>26</v>
      </c>
      <c r="I32" s="3" t="s">
        <v>27</v>
      </c>
      <c r="O32" s="3" t="s">
        <v>62</v>
      </c>
      <c r="P32" s="3" t="s">
        <v>28</v>
      </c>
      <c r="Q32" s="3" t="s">
        <v>26</v>
      </c>
    </row>
    <row r="33" spans="1:17" x14ac:dyDescent="0.25">
      <c r="A33" s="3" t="s">
        <v>63</v>
      </c>
      <c r="B33" s="4" t="s">
        <v>28</v>
      </c>
      <c r="C33" s="4"/>
      <c r="D33" s="4"/>
      <c r="E33" s="4"/>
      <c r="F33" s="4"/>
      <c r="G33" s="4"/>
      <c r="H33" s="4"/>
      <c r="I33" s="4" t="s">
        <v>27</v>
      </c>
      <c r="O33" s="3" t="s">
        <v>63</v>
      </c>
      <c r="P33" s="4" t="s">
        <v>28</v>
      </c>
      <c r="Q33" s="4"/>
    </row>
    <row r="34" spans="1:17" x14ac:dyDescent="0.25">
      <c r="A34" s="3" t="s">
        <v>64</v>
      </c>
      <c r="B34" s="3" t="s">
        <v>28</v>
      </c>
      <c r="C34" s="3" t="s">
        <v>12</v>
      </c>
      <c r="D34" s="3" t="s">
        <v>28</v>
      </c>
      <c r="E34" s="3" t="s">
        <v>28</v>
      </c>
      <c r="F34" s="3" t="s">
        <v>31</v>
      </c>
      <c r="G34" s="3" t="s">
        <v>26</v>
      </c>
      <c r="H34" s="3" t="s">
        <v>26</v>
      </c>
      <c r="I34" s="3" t="s">
        <v>27</v>
      </c>
      <c r="O34" s="3" t="s">
        <v>64</v>
      </c>
      <c r="P34" s="3" t="s">
        <v>28</v>
      </c>
      <c r="Q34" s="3" t="s">
        <v>26</v>
      </c>
    </row>
    <row r="35" spans="1:17" x14ac:dyDescent="0.25">
      <c r="A35" s="3" t="s">
        <v>65</v>
      </c>
      <c r="B35" s="3" t="s">
        <v>28</v>
      </c>
      <c r="C35" s="3" t="s">
        <v>12</v>
      </c>
      <c r="D35" s="3" t="s">
        <v>25</v>
      </c>
      <c r="E35" s="3" t="s">
        <v>25</v>
      </c>
      <c r="F35" s="3" t="s">
        <v>25</v>
      </c>
      <c r="G35" s="3" t="s">
        <v>25</v>
      </c>
      <c r="H35" s="3" t="s">
        <v>26</v>
      </c>
      <c r="I35" s="3" t="s">
        <v>27</v>
      </c>
      <c r="O35" s="3" t="s">
        <v>65</v>
      </c>
      <c r="P35" s="3" t="s">
        <v>28</v>
      </c>
      <c r="Q35" s="3" t="s">
        <v>25</v>
      </c>
    </row>
    <row r="36" spans="1:17" x14ac:dyDescent="0.25">
      <c r="A36" s="3" t="s">
        <v>66</v>
      </c>
      <c r="B36" s="3" t="s">
        <v>28</v>
      </c>
      <c r="C36" s="3" t="s">
        <v>45</v>
      </c>
      <c r="D36" s="3" t="s">
        <v>28</v>
      </c>
      <c r="E36" s="3" t="s">
        <v>28</v>
      </c>
      <c r="F36" s="3" t="s">
        <v>31</v>
      </c>
      <c r="G36" s="3" t="s">
        <v>25</v>
      </c>
      <c r="H36" s="3" t="s">
        <v>26</v>
      </c>
      <c r="I36" s="3" t="s">
        <v>27</v>
      </c>
      <c r="O36" s="3" t="s">
        <v>66</v>
      </c>
      <c r="P36" s="3" t="s">
        <v>28</v>
      </c>
      <c r="Q36" s="3" t="s">
        <v>26</v>
      </c>
    </row>
    <row r="37" spans="1:17" x14ac:dyDescent="0.25">
      <c r="A37" s="3" t="s">
        <v>67</v>
      </c>
      <c r="B37" s="3" t="s">
        <v>28</v>
      </c>
      <c r="C37" s="3" t="s">
        <v>12</v>
      </c>
      <c r="D37" s="3" t="s">
        <v>28</v>
      </c>
      <c r="E37" s="3" t="s">
        <v>28</v>
      </c>
      <c r="F37" s="3" t="s">
        <v>31</v>
      </c>
      <c r="G37" s="3" t="s">
        <v>26</v>
      </c>
      <c r="H37" s="3" t="s">
        <v>26</v>
      </c>
      <c r="I37" s="3" t="s">
        <v>27</v>
      </c>
      <c r="O37" s="3" t="s">
        <v>67</v>
      </c>
      <c r="P37" s="3" t="s">
        <v>28</v>
      </c>
      <c r="Q37" s="3" t="s">
        <v>26</v>
      </c>
    </row>
    <row r="38" spans="1:17" x14ac:dyDescent="0.25">
      <c r="A38" s="3" t="s">
        <v>68</v>
      </c>
      <c r="B38" s="3" t="s">
        <v>28</v>
      </c>
      <c r="C38" s="3" t="s">
        <v>45</v>
      </c>
      <c r="D38" s="3" t="s">
        <v>25</v>
      </c>
      <c r="E38" s="3" t="s">
        <v>25</v>
      </c>
      <c r="F38" s="3" t="s">
        <v>25</v>
      </c>
      <c r="G38" s="3" t="s">
        <v>25</v>
      </c>
      <c r="H38" s="3" t="s">
        <v>26</v>
      </c>
      <c r="I38" s="3" t="s">
        <v>27</v>
      </c>
      <c r="O38" s="3" t="s">
        <v>68</v>
      </c>
      <c r="P38" s="3" t="s">
        <v>28</v>
      </c>
      <c r="Q38" s="3" t="s">
        <v>25</v>
      </c>
    </row>
    <row r="39" spans="1:17" x14ac:dyDescent="0.25">
      <c r="A39" s="3" t="s">
        <v>69</v>
      </c>
      <c r="B39" s="3" t="s">
        <v>28</v>
      </c>
      <c r="C39" s="3"/>
      <c r="D39" s="3" t="s">
        <v>25</v>
      </c>
      <c r="E39" s="3" t="s">
        <v>25</v>
      </c>
      <c r="F39" s="3" t="s">
        <v>25</v>
      </c>
      <c r="G39" s="3" t="s">
        <v>25</v>
      </c>
      <c r="H39" s="3" t="s">
        <v>26</v>
      </c>
      <c r="I39" s="3" t="s">
        <v>27</v>
      </c>
      <c r="O39" s="3" t="s">
        <v>69</v>
      </c>
      <c r="P39" s="3" t="s">
        <v>28</v>
      </c>
      <c r="Q39" s="3" t="s">
        <v>25</v>
      </c>
    </row>
    <row r="40" spans="1:17" x14ac:dyDescent="0.25">
      <c r="A40" s="3" t="s">
        <v>70</v>
      </c>
      <c r="B40" s="3" t="s">
        <v>28</v>
      </c>
      <c r="C40" s="3"/>
      <c r="D40" s="3" t="s">
        <v>25</v>
      </c>
      <c r="E40" s="3" t="s">
        <v>28</v>
      </c>
      <c r="F40" s="3" t="s">
        <v>31</v>
      </c>
      <c r="G40" s="3" t="s">
        <v>26</v>
      </c>
      <c r="H40" s="3" t="s">
        <v>26</v>
      </c>
      <c r="I40" s="3" t="s">
        <v>27</v>
      </c>
      <c r="O40" s="3" t="s">
        <v>70</v>
      </c>
      <c r="P40" s="3" t="s">
        <v>28</v>
      </c>
      <c r="Q40" s="3" t="s">
        <v>26</v>
      </c>
    </row>
    <row r="41" spans="1:17" x14ac:dyDescent="0.25">
      <c r="A41" s="3" t="s">
        <v>71</v>
      </c>
      <c r="B41" s="3" t="s">
        <v>28</v>
      </c>
      <c r="C41" s="3"/>
      <c r="D41" s="3" t="s">
        <v>25</v>
      </c>
      <c r="E41" s="3" t="s">
        <v>25</v>
      </c>
      <c r="F41" s="3" t="s">
        <v>25</v>
      </c>
      <c r="G41" s="3" t="s">
        <v>25</v>
      </c>
      <c r="H41" s="3" t="s">
        <v>26</v>
      </c>
      <c r="I41" s="3" t="s">
        <v>27</v>
      </c>
      <c r="O41" s="3" t="s">
        <v>71</v>
      </c>
      <c r="P41" s="3" t="s">
        <v>28</v>
      </c>
      <c r="Q41" s="3" t="s">
        <v>25</v>
      </c>
    </row>
    <row r="42" spans="1:17" x14ac:dyDescent="0.25">
      <c r="A42" s="3" t="s">
        <v>72</v>
      </c>
      <c r="B42" s="3" t="s">
        <v>26</v>
      </c>
      <c r="C42" s="3" t="s">
        <v>12</v>
      </c>
      <c r="D42" s="3" t="s">
        <v>28</v>
      </c>
      <c r="E42" s="3" t="s">
        <v>28</v>
      </c>
      <c r="F42" s="3" t="s">
        <v>31</v>
      </c>
      <c r="G42" s="3" t="s">
        <v>26</v>
      </c>
      <c r="H42" s="3" t="s">
        <v>26</v>
      </c>
      <c r="I42" s="3" t="s">
        <v>27</v>
      </c>
      <c r="O42" s="3" t="s">
        <v>72</v>
      </c>
      <c r="P42" s="3" t="s">
        <v>26</v>
      </c>
      <c r="Q42" s="3" t="s">
        <v>26</v>
      </c>
    </row>
    <row r="43" spans="1:17" x14ac:dyDescent="0.25">
      <c r="A43" s="3" t="s">
        <v>73</v>
      </c>
      <c r="B43" s="3" t="s">
        <v>26</v>
      </c>
      <c r="C43" s="3" t="s">
        <v>12</v>
      </c>
      <c r="D43" s="3" t="s">
        <v>25</v>
      </c>
      <c r="E43" s="3" t="s">
        <v>25</v>
      </c>
      <c r="F43" s="3" t="s">
        <v>25</v>
      </c>
      <c r="G43" s="3" t="s">
        <v>25</v>
      </c>
      <c r="H43" s="3" t="s">
        <v>26</v>
      </c>
      <c r="I43" s="3" t="s">
        <v>27</v>
      </c>
      <c r="O43" s="3" t="s">
        <v>73</v>
      </c>
      <c r="P43" s="3" t="s">
        <v>26</v>
      </c>
      <c r="Q43" s="3" t="s">
        <v>25</v>
      </c>
    </row>
    <row r="44" spans="1:17" x14ac:dyDescent="0.25">
      <c r="A44" s="3" t="s">
        <v>74</v>
      </c>
      <c r="B44" s="4" t="s">
        <v>26</v>
      </c>
      <c r="C44" s="4"/>
      <c r="D44" s="4"/>
      <c r="E44" s="4"/>
      <c r="F44" s="4"/>
      <c r="G44" s="4"/>
      <c r="H44" s="4"/>
      <c r="I44" s="4" t="s">
        <v>27</v>
      </c>
      <c r="O44" s="3" t="s">
        <v>74</v>
      </c>
      <c r="P44" s="4" t="s">
        <v>26</v>
      </c>
      <c r="Q44" s="4"/>
    </row>
    <row r="45" spans="1:17" x14ac:dyDescent="0.25">
      <c r="A45" s="3" t="s">
        <v>75</v>
      </c>
      <c r="B45" s="3" t="s">
        <v>26</v>
      </c>
      <c r="C45" s="3" t="s">
        <v>12</v>
      </c>
      <c r="D45" s="3" t="s">
        <v>28</v>
      </c>
      <c r="E45" s="3" t="s">
        <v>25</v>
      </c>
      <c r="F45" s="3" t="s">
        <v>31</v>
      </c>
      <c r="G45" s="3" t="s">
        <v>26</v>
      </c>
      <c r="H45" s="3" t="s">
        <v>26</v>
      </c>
      <c r="I45" s="3" t="s">
        <v>27</v>
      </c>
      <c r="O45" s="3" t="s">
        <v>75</v>
      </c>
      <c r="P45" s="3" t="s">
        <v>26</v>
      </c>
      <c r="Q45" s="3" t="s">
        <v>26</v>
      </c>
    </row>
    <row r="46" spans="1:17" x14ac:dyDescent="0.25">
      <c r="A46" s="3" t="s">
        <v>76</v>
      </c>
      <c r="B46" s="3" t="s">
        <v>26</v>
      </c>
      <c r="C46" s="3" t="s">
        <v>12</v>
      </c>
      <c r="D46" s="3" t="s">
        <v>25</v>
      </c>
      <c r="E46" s="3" t="s">
        <v>25</v>
      </c>
      <c r="F46" s="3" t="s">
        <v>31</v>
      </c>
      <c r="G46" s="3" t="s">
        <v>25</v>
      </c>
      <c r="H46" s="3" t="s">
        <v>26</v>
      </c>
      <c r="I46" s="3" t="s">
        <v>27</v>
      </c>
      <c r="O46" s="3" t="s">
        <v>76</v>
      </c>
      <c r="P46" s="3" t="s">
        <v>26</v>
      </c>
      <c r="Q46" s="3" t="s">
        <v>26</v>
      </c>
    </row>
    <row r="47" spans="1:17" x14ac:dyDescent="0.25">
      <c r="A47" s="3" t="s">
        <v>77</v>
      </c>
      <c r="B47" s="3" t="s">
        <v>26</v>
      </c>
      <c r="C47" s="3" t="s">
        <v>12</v>
      </c>
      <c r="D47" s="3" t="s">
        <v>28</v>
      </c>
      <c r="E47" s="3" t="s">
        <v>28</v>
      </c>
      <c r="F47" s="3" t="s">
        <v>31</v>
      </c>
      <c r="G47" s="3" t="s">
        <v>26</v>
      </c>
      <c r="H47" s="3" t="s">
        <v>26</v>
      </c>
      <c r="I47" s="3" t="s">
        <v>27</v>
      </c>
      <c r="O47" s="3" t="s">
        <v>77</v>
      </c>
      <c r="P47" s="3" t="s">
        <v>26</v>
      </c>
      <c r="Q47" s="3" t="s">
        <v>26</v>
      </c>
    </row>
    <row r="48" spans="1:17" x14ac:dyDescent="0.25">
      <c r="A48" s="3" t="s">
        <v>78</v>
      </c>
      <c r="B48" s="3" t="s">
        <v>26</v>
      </c>
      <c r="C48" s="3" t="s">
        <v>12</v>
      </c>
      <c r="D48" s="3" t="s">
        <v>25</v>
      </c>
      <c r="E48" s="3" t="s">
        <v>25</v>
      </c>
      <c r="F48" s="3" t="s">
        <v>25</v>
      </c>
      <c r="G48" s="3" t="s">
        <v>25</v>
      </c>
      <c r="H48" s="3" t="s">
        <v>26</v>
      </c>
      <c r="I48" s="3" t="s">
        <v>27</v>
      </c>
      <c r="O48" s="3" t="s">
        <v>78</v>
      </c>
      <c r="P48" s="3" t="s">
        <v>26</v>
      </c>
      <c r="Q48" s="3" t="s">
        <v>25</v>
      </c>
    </row>
    <row r="49" spans="1:17" x14ac:dyDescent="0.25">
      <c r="A49" s="3" t="s">
        <v>79</v>
      </c>
      <c r="B49" s="3" t="s">
        <v>26</v>
      </c>
      <c r="C49" s="3"/>
      <c r="D49" s="3" t="s">
        <v>26</v>
      </c>
      <c r="E49" s="3" t="s">
        <v>28</v>
      </c>
      <c r="F49" s="3" t="s">
        <v>31</v>
      </c>
      <c r="G49" s="3" t="s">
        <v>26</v>
      </c>
      <c r="H49" s="3" t="s">
        <v>26</v>
      </c>
      <c r="I49" s="3" t="s">
        <v>27</v>
      </c>
      <c r="O49" s="3" t="s">
        <v>79</v>
      </c>
      <c r="P49" s="3" t="s">
        <v>26</v>
      </c>
      <c r="Q49" s="3" t="s">
        <v>26</v>
      </c>
    </row>
    <row r="50" spans="1:17" x14ac:dyDescent="0.25">
      <c r="A50" s="3" t="s">
        <v>80</v>
      </c>
      <c r="B50" s="3" t="s">
        <v>26</v>
      </c>
      <c r="C50" s="3"/>
      <c r="D50" s="3" t="s">
        <v>28</v>
      </c>
      <c r="E50" s="3" t="s">
        <v>28</v>
      </c>
      <c r="F50" s="3" t="s">
        <v>31</v>
      </c>
      <c r="G50" s="3" t="s">
        <v>26</v>
      </c>
      <c r="H50" s="3" t="s">
        <v>26</v>
      </c>
      <c r="I50" s="3" t="s">
        <v>27</v>
      </c>
      <c r="O50" s="3" t="s">
        <v>80</v>
      </c>
      <c r="P50" s="3" t="s">
        <v>26</v>
      </c>
      <c r="Q50" s="3" t="s">
        <v>26</v>
      </c>
    </row>
    <row r="51" spans="1:17" x14ac:dyDescent="0.25">
      <c r="A51" s="3" t="s">
        <v>81</v>
      </c>
      <c r="B51" s="3" t="s">
        <v>26</v>
      </c>
      <c r="C51" s="3" t="s">
        <v>12</v>
      </c>
      <c r="D51" s="3" t="s">
        <v>28</v>
      </c>
      <c r="E51" s="3" t="s">
        <v>28</v>
      </c>
      <c r="F51" s="3" t="s">
        <v>31</v>
      </c>
      <c r="G51" s="3" t="s">
        <v>26</v>
      </c>
      <c r="H51" s="3" t="s">
        <v>26</v>
      </c>
      <c r="I51" s="3" t="s">
        <v>27</v>
      </c>
      <c r="O51" s="3" t="s">
        <v>81</v>
      </c>
      <c r="P51" s="3" t="s">
        <v>26</v>
      </c>
      <c r="Q51" s="3" t="s">
        <v>26</v>
      </c>
    </row>
    <row r="52" spans="1:17" x14ac:dyDescent="0.25">
      <c r="A52" s="3" t="s">
        <v>82</v>
      </c>
      <c r="B52" s="3" t="s">
        <v>28</v>
      </c>
      <c r="C52" s="3"/>
      <c r="D52" s="3" t="s">
        <v>25</v>
      </c>
      <c r="E52" s="3" t="s">
        <v>25</v>
      </c>
      <c r="F52" s="3" t="s">
        <v>31</v>
      </c>
      <c r="G52" s="3" t="s">
        <v>25</v>
      </c>
      <c r="H52" s="3" t="s">
        <v>26</v>
      </c>
      <c r="I52" s="3" t="s">
        <v>27</v>
      </c>
      <c r="O52" s="3" t="s">
        <v>82</v>
      </c>
      <c r="P52" s="3" t="s">
        <v>28</v>
      </c>
      <c r="Q52" s="3" t="s">
        <v>26</v>
      </c>
    </row>
    <row r="53" spans="1:17" x14ac:dyDescent="0.25">
      <c r="A53" s="3" t="s">
        <v>83</v>
      </c>
      <c r="B53" s="4" t="s">
        <v>28</v>
      </c>
      <c r="C53" s="4"/>
      <c r="D53" s="4"/>
      <c r="E53" s="4"/>
      <c r="F53" s="4"/>
      <c r="G53" s="4"/>
      <c r="H53" s="4"/>
      <c r="I53" s="4" t="s">
        <v>27</v>
      </c>
      <c r="O53" s="3" t="s">
        <v>83</v>
      </c>
      <c r="P53" s="4" t="s">
        <v>28</v>
      </c>
      <c r="Q53" s="4" t="s">
        <v>27</v>
      </c>
    </row>
    <row r="54" spans="1:17" x14ac:dyDescent="0.25">
      <c r="A54" s="3" t="s">
        <v>84</v>
      </c>
      <c r="B54" s="3" t="s">
        <v>28</v>
      </c>
      <c r="C54" s="3" t="s">
        <v>45</v>
      </c>
      <c r="D54" s="3" t="s">
        <v>25</v>
      </c>
      <c r="E54" s="3" t="s">
        <v>25</v>
      </c>
      <c r="F54" s="3" t="s">
        <v>25</v>
      </c>
      <c r="G54" s="3" t="s">
        <v>25</v>
      </c>
      <c r="H54" s="3" t="s">
        <v>26</v>
      </c>
      <c r="I54" s="3" t="s">
        <v>27</v>
      </c>
      <c r="O54" s="3" t="s">
        <v>84</v>
      </c>
      <c r="P54" s="3" t="s">
        <v>28</v>
      </c>
      <c r="Q54" s="3" t="s">
        <v>25</v>
      </c>
    </row>
    <row r="55" spans="1:17" x14ac:dyDescent="0.25">
      <c r="A55" s="3" t="s">
        <v>85</v>
      </c>
      <c r="B55" s="3" t="s">
        <v>28</v>
      </c>
      <c r="C55" s="3" t="s">
        <v>12</v>
      </c>
      <c r="D55" s="3" t="s">
        <v>25</v>
      </c>
      <c r="E55" s="3" t="s">
        <v>28</v>
      </c>
      <c r="F55" s="3" t="s">
        <v>31</v>
      </c>
      <c r="G55" s="3" t="s">
        <v>26</v>
      </c>
      <c r="H55" s="3" t="s">
        <v>26</v>
      </c>
      <c r="I55" s="3" t="s">
        <v>27</v>
      </c>
      <c r="O55" s="3" t="s">
        <v>85</v>
      </c>
      <c r="P55" s="3" t="s">
        <v>28</v>
      </c>
      <c r="Q55" s="3" t="s">
        <v>26</v>
      </c>
    </row>
    <row r="56" spans="1:17" x14ac:dyDescent="0.25">
      <c r="A56" s="3" t="s">
        <v>86</v>
      </c>
      <c r="B56" s="3" t="s">
        <v>28</v>
      </c>
      <c r="C56" s="3" t="s">
        <v>12</v>
      </c>
      <c r="D56" s="3" t="s">
        <v>28</v>
      </c>
      <c r="E56" s="3" t="s">
        <v>28</v>
      </c>
      <c r="F56" s="3" t="s">
        <v>31</v>
      </c>
      <c r="G56" s="3" t="s">
        <v>26</v>
      </c>
      <c r="H56" s="3" t="s">
        <v>26</v>
      </c>
      <c r="I56" s="3" t="s">
        <v>27</v>
      </c>
      <c r="O56" s="3" t="s">
        <v>86</v>
      </c>
      <c r="P56" s="3" t="s">
        <v>28</v>
      </c>
      <c r="Q56" s="3" t="s">
        <v>26</v>
      </c>
    </row>
    <row r="57" spans="1:17" x14ac:dyDescent="0.25">
      <c r="A57" s="3" t="s">
        <v>87</v>
      </c>
      <c r="B57" s="3" t="s">
        <v>28</v>
      </c>
      <c r="C57" s="3"/>
      <c r="D57" s="3" t="s">
        <v>26</v>
      </c>
      <c r="E57" s="3" t="s">
        <v>28</v>
      </c>
      <c r="F57" s="3" t="s">
        <v>31</v>
      </c>
      <c r="G57" s="3" t="s">
        <v>26</v>
      </c>
      <c r="H57" s="3" t="s">
        <v>26</v>
      </c>
      <c r="I57" s="3" t="s">
        <v>27</v>
      </c>
      <c r="O57" s="3" t="s">
        <v>87</v>
      </c>
      <c r="P57" s="3" t="s">
        <v>28</v>
      </c>
      <c r="Q57" s="3" t="s">
        <v>26</v>
      </c>
    </row>
    <row r="58" spans="1:17" x14ac:dyDescent="0.25">
      <c r="A58" s="3" t="s">
        <v>88</v>
      </c>
      <c r="B58" s="3" t="s">
        <v>28</v>
      </c>
      <c r="C58" s="3"/>
      <c r="D58" s="3" t="s">
        <v>28</v>
      </c>
      <c r="E58" s="3" t="s">
        <v>28</v>
      </c>
      <c r="F58" s="3" t="s">
        <v>31</v>
      </c>
      <c r="G58" s="3" t="s">
        <v>26</v>
      </c>
      <c r="H58" s="3" t="s">
        <v>26</v>
      </c>
      <c r="I58" s="3" t="s">
        <v>27</v>
      </c>
      <c r="O58" s="3" t="s">
        <v>88</v>
      </c>
      <c r="P58" s="3" t="s">
        <v>28</v>
      </c>
      <c r="Q58" s="3" t="s">
        <v>26</v>
      </c>
    </row>
    <row r="59" spans="1:17" x14ac:dyDescent="0.25">
      <c r="A59" s="3" t="s">
        <v>89</v>
      </c>
      <c r="B59" s="3" t="s">
        <v>28</v>
      </c>
      <c r="C59" s="3"/>
      <c r="D59" s="3" t="s">
        <v>28</v>
      </c>
      <c r="E59" s="3" t="s">
        <v>28</v>
      </c>
      <c r="F59" s="3" t="s">
        <v>31</v>
      </c>
      <c r="G59" s="3" t="s">
        <v>26</v>
      </c>
      <c r="H59" s="3" t="s">
        <v>26</v>
      </c>
      <c r="I59" s="3" t="s">
        <v>27</v>
      </c>
      <c r="O59" s="3" t="s">
        <v>89</v>
      </c>
      <c r="P59" s="3" t="s">
        <v>28</v>
      </c>
      <c r="Q59" s="3" t="s">
        <v>26</v>
      </c>
    </row>
    <row r="60" spans="1:17" x14ac:dyDescent="0.25">
      <c r="A60" s="3" t="s">
        <v>90</v>
      </c>
      <c r="B60" s="3" t="s">
        <v>28</v>
      </c>
      <c r="C60" s="3"/>
      <c r="D60" s="3" t="s">
        <v>25</v>
      </c>
      <c r="E60" s="3" t="s">
        <v>25</v>
      </c>
      <c r="F60" s="3" t="s">
        <v>25</v>
      </c>
      <c r="G60" s="3" t="s">
        <v>25</v>
      </c>
      <c r="H60" s="3" t="s">
        <v>26</v>
      </c>
      <c r="I60" s="3" t="s">
        <v>27</v>
      </c>
      <c r="O60" s="3" t="s">
        <v>90</v>
      </c>
      <c r="P60" s="3" t="s">
        <v>28</v>
      </c>
      <c r="Q60" s="3" t="s">
        <v>25</v>
      </c>
    </row>
    <row r="61" spans="1:17" x14ac:dyDescent="0.25">
      <c r="A61" s="3" t="s">
        <v>91</v>
      </c>
      <c r="B61" s="3" t="s">
        <v>28</v>
      </c>
      <c r="C61" s="3"/>
      <c r="D61" s="3" t="s">
        <v>28</v>
      </c>
      <c r="E61" s="3" t="s">
        <v>28</v>
      </c>
      <c r="F61" s="3" t="s">
        <v>31</v>
      </c>
      <c r="G61" s="3" t="s">
        <v>26</v>
      </c>
      <c r="H61" s="3" t="s">
        <v>26</v>
      </c>
      <c r="I61" s="3" t="s">
        <v>27</v>
      </c>
      <c r="O61" s="3" t="s">
        <v>91</v>
      </c>
      <c r="P61" s="3" t="s">
        <v>28</v>
      </c>
      <c r="Q61" s="3" t="s">
        <v>26</v>
      </c>
    </row>
  </sheetData>
  <sortState xmlns:xlrd2="http://schemas.microsoft.com/office/spreadsheetml/2017/richdata2" ref="A2:A61">
    <sortCondition ref="A1:A61"/>
  </sortState>
  <mergeCells count="1">
    <mergeCell ref="K6:L6"/>
  </mergeCells>
  <conditionalFormatting sqref="G2:G5 G7:G16 G18:G22 G24:G32 G34:G43 G45:G52 G54:G61">
    <cfRule type="expression" dxfId="29" priority="30">
      <formula>F2&lt;&gt;"MR"</formula>
    </cfRule>
  </conditionalFormatting>
  <conditionalFormatting sqref="H2:H5 H7:H16 H18:H22 H24:H32 H34:H43 H45:H52 H54:H61">
    <cfRule type="expression" dxfId="28" priority="29">
      <formula>F2&lt;&gt;"NR"</formula>
    </cfRule>
  </conditionalFormatting>
  <conditionalFormatting sqref="Q2:Q3">
    <cfRule type="expression" dxfId="27" priority="28">
      <formula>P2&lt;&gt;"MR"</formula>
    </cfRule>
  </conditionalFormatting>
  <conditionalFormatting sqref="Q4:Q5">
    <cfRule type="expression" dxfId="26" priority="27">
      <formula>O4&lt;&gt;"NR"</formula>
    </cfRule>
  </conditionalFormatting>
  <conditionalFormatting sqref="Q7">
    <cfRule type="expression" dxfId="25" priority="26">
      <formula>P7&lt;&gt;"MR"</formula>
    </cfRule>
  </conditionalFormatting>
  <conditionalFormatting sqref="Q8:Q12">
    <cfRule type="expression" dxfId="24" priority="25">
      <formula>O8&lt;&gt;"NR"</formula>
    </cfRule>
  </conditionalFormatting>
  <conditionalFormatting sqref="Q13:Q16">
    <cfRule type="expression" dxfId="23" priority="24">
      <formula>P13&lt;&gt;"MR"</formula>
    </cfRule>
  </conditionalFormatting>
  <conditionalFormatting sqref="Q18:Q19">
    <cfRule type="expression" dxfId="22" priority="23">
      <formula>O18&lt;&gt;"NR"</formula>
    </cfRule>
  </conditionalFormatting>
  <conditionalFormatting sqref="Q20">
    <cfRule type="expression" dxfId="21" priority="22">
      <formula>P20&lt;&gt;"MR"</formula>
    </cfRule>
  </conditionalFormatting>
  <conditionalFormatting sqref="Q21:Q22">
    <cfRule type="expression" dxfId="20" priority="21">
      <formula>O21&lt;&gt;"NR"</formula>
    </cfRule>
  </conditionalFormatting>
  <conditionalFormatting sqref="Q24:Q25">
    <cfRule type="expression" dxfId="19" priority="20">
      <formula>P24&lt;&gt;"MR"</formula>
    </cfRule>
  </conditionalFormatting>
  <conditionalFormatting sqref="Q26:Q27">
    <cfRule type="expression" dxfId="18" priority="19">
      <formula>O26&lt;&gt;"NR"</formula>
    </cfRule>
  </conditionalFormatting>
  <conditionalFormatting sqref="Q28">
    <cfRule type="expression" dxfId="17" priority="18">
      <formula>P28&lt;&gt;"MR"</formula>
    </cfRule>
  </conditionalFormatting>
  <conditionalFormatting sqref="Q29">
    <cfRule type="expression" dxfId="16" priority="17">
      <formula>O29&lt;&gt;"NR"</formula>
    </cfRule>
  </conditionalFormatting>
  <conditionalFormatting sqref="Q30">
    <cfRule type="expression" dxfId="15" priority="16">
      <formula>P30&lt;&gt;"MR"</formula>
    </cfRule>
  </conditionalFormatting>
  <conditionalFormatting sqref="Q31:Q32 Q34">
    <cfRule type="expression" dxfId="14" priority="15">
      <formula>O31&lt;&gt;"NR"</formula>
    </cfRule>
  </conditionalFormatting>
  <conditionalFormatting sqref="Q35">
    <cfRule type="expression" dxfId="13" priority="14">
      <formula>P35&lt;&gt;"MR"</formula>
    </cfRule>
  </conditionalFormatting>
  <conditionalFormatting sqref="Q36:Q37">
    <cfRule type="expression" dxfId="12" priority="13">
      <formula>O36&lt;&gt;"NR"</formula>
    </cfRule>
  </conditionalFormatting>
  <conditionalFormatting sqref="Q38:Q39">
    <cfRule type="expression" dxfId="11" priority="12">
      <formula>P38&lt;&gt;"MR"</formula>
    </cfRule>
  </conditionalFormatting>
  <conditionalFormatting sqref="Q40">
    <cfRule type="expression" dxfId="10" priority="11">
      <formula>O40&lt;&gt;"NR"</formula>
    </cfRule>
  </conditionalFormatting>
  <conditionalFormatting sqref="Q41">
    <cfRule type="expression" dxfId="9" priority="10">
      <formula>P41&lt;&gt;"MR"</formula>
    </cfRule>
  </conditionalFormatting>
  <conditionalFormatting sqref="Q42">
    <cfRule type="expression" dxfId="8" priority="9">
      <formula>O42&lt;&gt;"NR"</formula>
    </cfRule>
  </conditionalFormatting>
  <conditionalFormatting sqref="Q43">
    <cfRule type="expression" dxfId="7" priority="8">
      <formula>P43&lt;&gt;"MR"</formula>
    </cfRule>
  </conditionalFormatting>
  <conditionalFormatting sqref="Q45:Q47">
    <cfRule type="expression" dxfId="6" priority="7">
      <formula>O45&lt;&gt;"NR"</formula>
    </cfRule>
  </conditionalFormatting>
  <conditionalFormatting sqref="Q48">
    <cfRule type="expression" dxfId="5" priority="6">
      <formula>P48&lt;&gt;"MR"</formula>
    </cfRule>
  </conditionalFormatting>
  <conditionalFormatting sqref="Q49:Q52">
    <cfRule type="expression" dxfId="4" priority="5">
      <formula>O49&lt;&gt;"NR"</formula>
    </cfRule>
  </conditionalFormatting>
  <conditionalFormatting sqref="Q54">
    <cfRule type="expression" dxfId="3" priority="4">
      <formula>P54&lt;&gt;"MR"</formula>
    </cfRule>
  </conditionalFormatting>
  <conditionalFormatting sqref="Q55:Q59">
    <cfRule type="expression" dxfId="2" priority="3">
      <formula>O55&lt;&gt;"NR"</formula>
    </cfRule>
  </conditionalFormatting>
  <conditionalFormatting sqref="Q60">
    <cfRule type="expression" dxfId="1" priority="2">
      <formula>P60&lt;&gt;"MR"</formula>
    </cfRule>
  </conditionalFormatting>
  <conditionalFormatting sqref="Q61">
    <cfRule type="expression" dxfId="0" priority="1">
      <formula>O61&lt;&gt;"NR"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69A4A-37F1-43E5-859F-A63C1F50C3EC}">
  <dimension ref="A1:N18"/>
  <sheetViews>
    <sheetView workbookViewId="0">
      <selection activeCell="A2" sqref="A2"/>
    </sheetView>
  </sheetViews>
  <sheetFormatPr defaultRowHeight="15" x14ac:dyDescent="0.25"/>
  <cols>
    <col min="3" max="3" width="9.140625" customWidth="1"/>
  </cols>
  <sheetData>
    <row r="1" spans="1:14" x14ac:dyDescent="0.25">
      <c r="A1" s="36" t="s">
        <v>99</v>
      </c>
      <c r="B1" s="36"/>
      <c r="C1" s="36"/>
      <c r="D1" s="36"/>
      <c r="F1" s="36" t="s">
        <v>108</v>
      </c>
      <c r="G1" s="36"/>
      <c r="H1" s="36"/>
      <c r="I1" s="36"/>
      <c r="K1" s="36" t="s">
        <v>92</v>
      </c>
      <c r="L1" s="36"/>
      <c r="M1" s="36"/>
      <c r="N1" s="36"/>
    </row>
    <row r="2" spans="1:14" x14ac:dyDescent="0.25">
      <c r="A2" s="3"/>
      <c r="B2" s="37" t="s">
        <v>93</v>
      </c>
      <c r="C2" s="37"/>
      <c r="D2" s="37"/>
      <c r="F2" s="3"/>
      <c r="G2" s="37" t="s">
        <v>93</v>
      </c>
      <c r="H2" s="37"/>
      <c r="I2" s="37"/>
      <c r="K2" s="3"/>
      <c r="L2" s="37" t="s">
        <v>93</v>
      </c>
      <c r="M2" s="37"/>
      <c r="N2" s="37"/>
    </row>
    <row r="3" spans="1:14" x14ac:dyDescent="0.25">
      <c r="A3" s="7" t="s">
        <v>94</v>
      </c>
      <c r="B3" s="5" t="s">
        <v>25</v>
      </c>
      <c r="C3" s="5" t="s">
        <v>26</v>
      </c>
      <c r="D3" s="5" t="s">
        <v>28</v>
      </c>
      <c r="F3" s="7" t="s">
        <v>94</v>
      </c>
      <c r="G3" s="5" t="s">
        <v>25</v>
      </c>
      <c r="H3" s="5" t="s">
        <v>26</v>
      </c>
      <c r="I3" s="5" t="s">
        <v>28</v>
      </c>
      <c r="K3" s="7" t="s">
        <v>94</v>
      </c>
      <c r="L3" s="5" t="s">
        <v>25</v>
      </c>
      <c r="M3" s="5" t="s">
        <v>26</v>
      </c>
      <c r="N3" s="5" t="s">
        <v>28</v>
      </c>
    </row>
    <row r="4" spans="1:14" x14ac:dyDescent="0.25">
      <c r="A4" s="7" t="s">
        <v>25</v>
      </c>
      <c r="B4" s="3">
        <f>COUNTIF('Data Collected'!$D2:$D11,"NR")</f>
        <v>4</v>
      </c>
      <c r="C4" s="3">
        <f>COUNTIF('Data Collected'!$D2:$D11,"M")</f>
        <v>0</v>
      </c>
      <c r="D4" s="3">
        <f>COUNTIF('Data Collected'!$D2:$D11,"R")</f>
        <v>5</v>
      </c>
      <c r="F4" s="7" t="s">
        <v>25</v>
      </c>
      <c r="G4" s="3">
        <f>COUNTIF('Data Collected'!$D22:$D31,"NR")</f>
        <v>7</v>
      </c>
      <c r="H4" s="3">
        <f>COUNTIF('Data Collected'!$D22:$D31,"M")</f>
        <v>1</v>
      </c>
      <c r="I4" s="3">
        <f>COUNTIF('Data Collected'!$D22:$D31,"R")</f>
        <v>1</v>
      </c>
      <c r="K4" s="7" t="s">
        <v>25</v>
      </c>
      <c r="L4" s="3">
        <f>SUM(G4,B4)</f>
        <v>11</v>
      </c>
      <c r="M4" s="3">
        <f t="shared" ref="M4:N4" si="0">SUM(H4,C4)</f>
        <v>1</v>
      </c>
      <c r="N4" s="3">
        <f t="shared" si="0"/>
        <v>6</v>
      </c>
    </row>
    <row r="5" spans="1:14" x14ac:dyDescent="0.25">
      <c r="A5" s="7" t="s">
        <v>26</v>
      </c>
      <c r="B5" s="3">
        <f>COUNTIF('Data Collected'!$D42:$D51, "NR")</f>
        <v>3</v>
      </c>
      <c r="C5" s="3">
        <f>COUNTIF('Data Collected'!$D42:$D51, "M")</f>
        <v>1</v>
      </c>
      <c r="D5" s="3">
        <f>COUNTIF('Data Collected'!$D42:$D51, "R")</f>
        <v>5</v>
      </c>
      <c r="F5" s="7" t="s">
        <v>26</v>
      </c>
      <c r="G5" s="3">
        <f>COUNTIF('Data Collected'!$D12:$D21,"NR")</f>
        <v>5</v>
      </c>
      <c r="H5" s="3">
        <f>COUNTIF('Data Collected'!$D12:$D21,"M")</f>
        <v>0</v>
      </c>
      <c r="I5" s="3">
        <f>COUNTIF('Data Collected'!$D12:$D21,"R")</f>
        <v>4</v>
      </c>
      <c r="K5" s="7" t="s">
        <v>26</v>
      </c>
      <c r="L5" s="3">
        <f t="shared" ref="L5:L6" si="1">SUM(G5,B5)</f>
        <v>8</v>
      </c>
      <c r="M5" s="3">
        <f t="shared" ref="M5:M6" si="2">SUM(H5,C5)</f>
        <v>1</v>
      </c>
      <c r="N5" s="3">
        <f t="shared" ref="N5:N6" si="3">SUM(I5,D5)</f>
        <v>9</v>
      </c>
    </row>
    <row r="6" spans="1:14" x14ac:dyDescent="0.25">
      <c r="A6" s="7" t="s">
        <v>28</v>
      </c>
      <c r="B6" s="3">
        <f>COUNTIF('Data Collected'!$D52:$D61, "NR")</f>
        <v>4</v>
      </c>
      <c r="C6" s="3">
        <f>COUNTIF('Data Collected'!$D52:$D61, "M")</f>
        <v>1</v>
      </c>
      <c r="D6" s="3">
        <f>COUNTIF('Data Collected'!$D52:$D61, "R")</f>
        <v>4</v>
      </c>
      <c r="F6" s="7" t="s">
        <v>28</v>
      </c>
      <c r="G6" s="3">
        <f>COUNTIF('Data Collected'!$D32:$D41,"NR")</f>
        <v>5</v>
      </c>
      <c r="H6" s="3">
        <f>COUNTIF('Data Collected'!$D32:$D41,"M")</f>
        <v>0</v>
      </c>
      <c r="I6" s="3">
        <f>COUNTIF('Data Collected'!$D32:$D41,"R")</f>
        <v>4</v>
      </c>
      <c r="K6" s="7" t="s">
        <v>28</v>
      </c>
      <c r="L6" s="3">
        <f t="shared" si="1"/>
        <v>9</v>
      </c>
      <c r="M6" s="3">
        <f t="shared" si="2"/>
        <v>1</v>
      </c>
      <c r="N6" s="3">
        <f t="shared" si="3"/>
        <v>8</v>
      </c>
    </row>
    <row r="7" spans="1:14" x14ac:dyDescent="0.25">
      <c r="A7" s="7" t="s">
        <v>95</v>
      </c>
      <c r="B7" s="3">
        <f>SUM(B4,C5,D6)/27*100</f>
        <v>33.333333333333329</v>
      </c>
      <c r="F7" s="7" t="s">
        <v>95</v>
      </c>
      <c r="G7" s="3">
        <f>SUM(G4,H5,I6)/SUM(G4:I6) * 100</f>
        <v>40.74074074074074</v>
      </c>
      <c r="K7" s="7" t="s">
        <v>95</v>
      </c>
      <c r="L7" s="3">
        <f>SUM(L4,M5,N6)/SUM(L4:N6) * 100</f>
        <v>37.037037037037038</v>
      </c>
    </row>
    <row r="9" spans="1:14" x14ac:dyDescent="0.25">
      <c r="B9" t="s">
        <v>99</v>
      </c>
    </row>
    <row r="10" spans="1:14" x14ac:dyDescent="0.25">
      <c r="B10" t="s">
        <v>96</v>
      </c>
      <c r="C10" t="s">
        <v>97</v>
      </c>
      <c r="D10" t="s">
        <v>98</v>
      </c>
    </row>
    <row r="11" spans="1:14" x14ac:dyDescent="0.25">
      <c r="A11" t="s">
        <v>96</v>
      </c>
      <c r="B11">
        <v>75</v>
      </c>
      <c r="C11">
        <v>12</v>
      </c>
      <c r="D11">
        <v>6</v>
      </c>
      <c r="F11">
        <f>SUM(B11,C12,D13)/SUM(B11:D13)</f>
        <v>0.78819444444444442</v>
      </c>
    </row>
    <row r="12" spans="1:14" x14ac:dyDescent="0.25">
      <c r="A12" t="s">
        <v>97</v>
      </c>
      <c r="B12">
        <v>6</v>
      </c>
      <c r="C12">
        <v>78</v>
      </c>
      <c r="D12">
        <v>13</v>
      </c>
    </row>
    <row r="13" spans="1:14" x14ac:dyDescent="0.25">
      <c r="A13" t="s">
        <v>98</v>
      </c>
      <c r="B13">
        <v>15</v>
      </c>
      <c r="C13">
        <v>9</v>
      </c>
      <c r="D13">
        <v>74</v>
      </c>
    </row>
    <row r="14" spans="1:14" x14ac:dyDescent="0.25">
      <c r="B14" t="s">
        <v>100</v>
      </c>
    </row>
    <row r="15" spans="1:14" x14ac:dyDescent="0.25">
      <c r="B15" t="s">
        <v>96</v>
      </c>
      <c r="C15" t="s">
        <v>97</v>
      </c>
      <c r="D15" t="s">
        <v>98</v>
      </c>
    </row>
    <row r="16" spans="1:14" x14ac:dyDescent="0.25">
      <c r="A16" t="s">
        <v>96</v>
      </c>
      <c r="B16">
        <v>68</v>
      </c>
      <c r="C16">
        <v>14</v>
      </c>
      <c r="D16">
        <v>18</v>
      </c>
      <c r="F16">
        <f>SUM(B16,C17,D18)/SUM(B16:D18)</f>
        <v>0.70469798657718119</v>
      </c>
    </row>
    <row r="17" spans="1:4" x14ac:dyDescent="0.25">
      <c r="A17" t="s">
        <v>97</v>
      </c>
      <c r="B17">
        <v>11</v>
      </c>
      <c r="C17">
        <v>74</v>
      </c>
      <c r="D17">
        <v>17</v>
      </c>
    </row>
    <row r="18" spans="1:4" x14ac:dyDescent="0.25">
      <c r="A18" t="s">
        <v>98</v>
      </c>
      <c r="B18">
        <v>17</v>
      </c>
      <c r="C18">
        <v>11</v>
      </c>
      <c r="D18">
        <v>68</v>
      </c>
    </row>
  </sheetData>
  <mergeCells count="6">
    <mergeCell ref="K1:N1"/>
    <mergeCell ref="L2:N2"/>
    <mergeCell ref="B2:D2"/>
    <mergeCell ref="A1:D1"/>
    <mergeCell ref="F1:I1"/>
    <mergeCell ref="G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B576-1E7B-4E12-ABE4-C8287B0402BA}">
  <dimension ref="A1:N16"/>
  <sheetViews>
    <sheetView workbookViewId="0">
      <selection activeCell="A2" sqref="A2"/>
    </sheetView>
  </sheetViews>
  <sheetFormatPr defaultRowHeight="15" x14ac:dyDescent="0.25"/>
  <sheetData>
    <row r="1" spans="1:14" x14ac:dyDescent="0.25">
      <c r="A1" s="36" t="s">
        <v>99</v>
      </c>
      <c r="B1" s="36"/>
      <c r="C1" s="36"/>
      <c r="D1" s="36"/>
      <c r="F1" s="36" t="s">
        <v>108</v>
      </c>
      <c r="G1" s="36"/>
      <c r="H1" s="36"/>
      <c r="I1" s="36"/>
      <c r="K1" s="36" t="s">
        <v>92</v>
      </c>
      <c r="L1" s="36"/>
      <c r="M1" s="36"/>
      <c r="N1" s="36"/>
    </row>
    <row r="2" spans="1:14" x14ac:dyDescent="0.25">
      <c r="A2" s="3"/>
      <c r="B2" s="37" t="s">
        <v>93</v>
      </c>
      <c r="C2" s="37"/>
      <c r="D2" s="37"/>
      <c r="F2" s="3"/>
      <c r="G2" s="37" t="s">
        <v>93</v>
      </c>
      <c r="H2" s="37"/>
      <c r="I2" s="37"/>
      <c r="K2" s="3"/>
      <c r="L2" s="37" t="s">
        <v>93</v>
      </c>
      <c r="M2" s="37"/>
      <c r="N2" s="37"/>
    </row>
    <row r="3" spans="1:14" x14ac:dyDescent="0.25">
      <c r="A3" s="7" t="s">
        <v>94</v>
      </c>
      <c r="B3" s="5" t="s">
        <v>25</v>
      </c>
      <c r="C3" s="5" t="s">
        <v>26</v>
      </c>
      <c r="D3" s="5" t="s">
        <v>28</v>
      </c>
      <c r="F3" s="7" t="s">
        <v>94</v>
      </c>
      <c r="G3" s="5" t="s">
        <v>25</v>
      </c>
      <c r="H3" s="5" t="s">
        <v>26</v>
      </c>
      <c r="I3" s="5" t="s">
        <v>28</v>
      </c>
      <c r="K3" s="7" t="s">
        <v>94</v>
      </c>
      <c r="L3" s="5" t="s">
        <v>25</v>
      </c>
      <c r="M3" s="5" t="s">
        <v>26</v>
      </c>
      <c r="N3" s="5" t="s">
        <v>28</v>
      </c>
    </row>
    <row r="4" spans="1:14" x14ac:dyDescent="0.25">
      <c r="A4" s="7" t="s">
        <v>25</v>
      </c>
      <c r="B4" s="8">
        <f>COUNTIF('Data Collected'!$E2:$E11,"NR")</f>
        <v>4</v>
      </c>
      <c r="C4" s="3">
        <f>COUNTIF('Data Collected'!$E2:$E11,"M")</f>
        <v>0</v>
      </c>
      <c r="D4" s="8">
        <f>COUNTIF('Data Collected'!$E2:$E11,"R")</f>
        <v>5</v>
      </c>
      <c r="F4" s="7" t="s">
        <v>25</v>
      </c>
      <c r="G4" s="8">
        <f>COUNTIF('Data Collected'!$E22:$E31,"NR")</f>
        <v>7</v>
      </c>
      <c r="H4" s="3">
        <f>COUNTIF('Data Collected'!$E22:$E31,"M")</f>
        <v>0</v>
      </c>
      <c r="I4" s="8">
        <f>COUNTIF('Data Collected'!$E22:$E31,"R")</f>
        <v>2</v>
      </c>
      <c r="K4" s="7" t="s">
        <v>25</v>
      </c>
      <c r="L4" s="8">
        <f>SUM(B4,G4)</f>
        <v>11</v>
      </c>
      <c r="M4" s="3">
        <f t="shared" ref="M4:N4" si="0">SUM(C4,H4)</f>
        <v>0</v>
      </c>
      <c r="N4" s="8">
        <f t="shared" si="0"/>
        <v>7</v>
      </c>
    </row>
    <row r="5" spans="1:14" x14ac:dyDescent="0.25">
      <c r="A5" s="7" t="s">
        <v>26</v>
      </c>
      <c r="B5" s="3">
        <f>COUNTIF('Data Collected'!$E42:$E51, "NR")</f>
        <v>4</v>
      </c>
      <c r="C5" s="3">
        <f>COUNTIF('Data Collected'!$E42:$E51, "M")</f>
        <v>0</v>
      </c>
      <c r="D5" s="3">
        <f>COUNTIF('Data Collected'!$E42:$E51, "R")</f>
        <v>5</v>
      </c>
      <c r="F5" s="7" t="s">
        <v>26</v>
      </c>
      <c r="G5" s="3">
        <f>COUNTIF('Data Collected'!$E12:$E21,"NR")</f>
        <v>5</v>
      </c>
      <c r="H5" s="3">
        <f>COUNTIF('Data Collected'!$E12:$E21,"M")</f>
        <v>0</v>
      </c>
      <c r="I5" s="3">
        <f>COUNTIF('Data Collected'!$E12:$E21,"R")</f>
        <v>4</v>
      </c>
      <c r="K5" s="7" t="s">
        <v>26</v>
      </c>
      <c r="L5" s="3">
        <f t="shared" ref="L5:L6" si="1">SUM(B5,G5)</f>
        <v>9</v>
      </c>
      <c r="M5" s="3">
        <f t="shared" ref="M5:M6" si="2">SUM(C5,H5)</f>
        <v>0</v>
      </c>
      <c r="N5" s="3">
        <f t="shared" ref="N5:N6" si="3">SUM(D5,I5)</f>
        <v>9</v>
      </c>
    </row>
    <row r="6" spans="1:14" x14ac:dyDescent="0.25">
      <c r="A6" s="7" t="s">
        <v>28</v>
      </c>
      <c r="B6" s="8">
        <f>COUNTIF('Data Collected'!$E52:$E61, "NR")</f>
        <v>3</v>
      </c>
      <c r="C6" s="3">
        <f>COUNTIF('Data Collected'!$E52:$E61, "M")</f>
        <v>0</v>
      </c>
      <c r="D6" s="8">
        <f>COUNTIF('Data Collected'!$E52:$E61, "R")</f>
        <v>6</v>
      </c>
      <c r="F6" s="7" t="s">
        <v>28</v>
      </c>
      <c r="G6" s="8">
        <f>COUNTIF('Data Collected'!$E32:$E41,"NR")</f>
        <v>4</v>
      </c>
      <c r="H6" s="3">
        <f>COUNTIF('Data Collected'!$E32:$E41,"M")</f>
        <v>0</v>
      </c>
      <c r="I6" s="8">
        <f>COUNTIF('Data Collected'!$E32:$E41,"R")</f>
        <v>5</v>
      </c>
      <c r="K6" s="7" t="s">
        <v>28</v>
      </c>
      <c r="L6" s="8">
        <f t="shared" si="1"/>
        <v>7</v>
      </c>
      <c r="M6" s="3">
        <f t="shared" si="2"/>
        <v>0</v>
      </c>
      <c r="N6" s="8">
        <f t="shared" si="3"/>
        <v>11</v>
      </c>
    </row>
    <row r="7" spans="1:14" x14ac:dyDescent="0.25">
      <c r="A7" s="7" t="s">
        <v>95</v>
      </c>
      <c r="B7" s="8">
        <f>SUM(B4,D6)/SUM(B4, B6, D4, D6)*100</f>
        <v>55.555555555555557</v>
      </c>
      <c r="F7" s="7" t="s">
        <v>95</v>
      </c>
      <c r="G7" s="8">
        <f>SUM(G4,I6)/SUM(G4,G6,I4,I6) * 100</f>
        <v>66.666666666666657</v>
      </c>
      <c r="K7" s="7" t="s">
        <v>95</v>
      </c>
      <c r="L7" s="8">
        <f>SUM(L4,N6)/SUM(L4,L6,N4,N6) * 100</f>
        <v>61.111111111111114</v>
      </c>
    </row>
    <row r="10" spans="1:14" x14ac:dyDescent="0.25">
      <c r="B10" t="s">
        <v>25</v>
      </c>
      <c r="C10" t="s">
        <v>28</v>
      </c>
    </row>
    <row r="11" spans="1:14" x14ac:dyDescent="0.25">
      <c r="A11" t="s">
        <v>25</v>
      </c>
      <c r="B11">
        <v>87</v>
      </c>
      <c r="C11">
        <v>16</v>
      </c>
      <c r="E11">
        <f>SUM(B11,C12)/SUM(B11:C12)</f>
        <v>0.86138613861386137</v>
      </c>
    </row>
    <row r="12" spans="1:14" x14ac:dyDescent="0.25">
      <c r="A12" t="s">
        <v>28</v>
      </c>
      <c r="B12">
        <v>12</v>
      </c>
      <c r="C12">
        <v>87</v>
      </c>
    </row>
    <row r="14" spans="1:14" x14ac:dyDescent="0.25">
      <c r="B14" t="s">
        <v>25</v>
      </c>
      <c r="C14" t="s">
        <v>28</v>
      </c>
    </row>
    <row r="15" spans="1:14" x14ac:dyDescent="0.25">
      <c r="A15" t="s">
        <v>25</v>
      </c>
      <c r="B15">
        <v>86</v>
      </c>
      <c r="C15">
        <v>20</v>
      </c>
      <c r="E15">
        <f>SUM(B15,C16)/SUM(B15:C16)</f>
        <v>0.8366336633663366</v>
      </c>
    </row>
    <row r="16" spans="1:14" x14ac:dyDescent="0.25">
      <c r="A16" t="s">
        <v>28</v>
      </c>
      <c r="B16">
        <v>13</v>
      </c>
      <c r="C16">
        <v>83</v>
      </c>
    </row>
  </sheetData>
  <mergeCells count="6">
    <mergeCell ref="A1:D1"/>
    <mergeCell ref="F1:I1"/>
    <mergeCell ref="B2:D2"/>
    <mergeCell ref="G2:I2"/>
    <mergeCell ref="K1:N1"/>
    <mergeCell ref="L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0462F-4CC4-42CC-AE0D-F867DBD9F550}">
  <dimension ref="A1:M23"/>
  <sheetViews>
    <sheetView workbookViewId="0">
      <selection activeCell="B10" sqref="B10:C10"/>
    </sheetView>
  </sheetViews>
  <sheetFormatPr defaultRowHeight="15" x14ac:dyDescent="0.25"/>
  <sheetData>
    <row r="1" spans="1:13" x14ac:dyDescent="0.25">
      <c r="A1" s="41" t="s">
        <v>99</v>
      </c>
      <c r="B1" s="42"/>
      <c r="C1" s="40"/>
      <c r="F1" s="41" t="s">
        <v>108</v>
      </c>
      <c r="G1" s="42"/>
      <c r="H1" s="40"/>
      <c r="K1" s="41" t="s">
        <v>92</v>
      </c>
      <c r="L1" s="42"/>
      <c r="M1" s="40"/>
    </row>
    <row r="2" spans="1:13" x14ac:dyDescent="0.25">
      <c r="A2" s="3"/>
      <c r="B2" s="43" t="s">
        <v>93</v>
      </c>
      <c r="C2" s="44"/>
      <c r="F2" s="3"/>
      <c r="G2" s="37" t="s">
        <v>93</v>
      </c>
      <c r="H2" s="37"/>
      <c r="K2" s="3"/>
      <c r="L2" s="43" t="s">
        <v>93</v>
      </c>
      <c r="M2" s="44"/>
    </row>
    <row r="3" spans="1:13" x14ac:dyDescent="0.25">
      <c r="A3" s="7" t="s">
        <v>94</v>
      </c>
      <c r="B3" s="5" t="s">
        <v>25</v>
      </c>
      <c r="C3" s="5" t="s">
        <v>31</v>
      </c>
      <c r="F3" s="7" t="s">
        <v>94</v>
      </c>
      <c r="G3" s="5" t="s">
        <v>25</v>
      </c>
      <c r="H3" s="5" t="s">
        <v>26</v>
      </c>
      <c r="K3" s="7" t="s">
        <v>94</v>
      </c>
      <c r="L3" s="5" t="s">
        <v>25</v>
      </c>
      <c r="M3" s="5" t="s">
        <v>26</v>
      </c>
    </row>
    <row r="4" spans="1:13" x14ac:dyDescent="0.25">
      <c r="A4" s="7" t="s">
        <v>25</v>
      </c>
      <c r="B4" s="3">
        <f>COUNTIF('Data Collected'!$F2:$F11,"NR")</f>
        <v>3</v>
      </c>
      <c r="C4" s="3">
        <f>COUNTIF('Data Collected'!$F2:$F11,"MR")</f>
        <v>6</v>
      </c>
      <c r="F4" s="7" t="s">
        <v>25</v>
      </c>
      <c r="G4" s="3">
        <f>COUNTIF('Data Collected'!$F22:$F31,"NR")</f>
        <v>4</v>
      </c>
      <c r="H4" s="3">
        <f>COUNTIF('Data Collected'!$F22:$F31,"MR")</f>
        <v>5</v>
      </c>
      <c r="K4" s="7" t="s">
        <v>25</v>
      </c>
      <c r="L4" s="3">
        <f>SUM(B4,G4)</f>
        <v>7</v>
      </c>
      <c r="M4" s="3">
        <f t="shared" ref="M4" si="0">SUM(C4,H4)</f>
        <v>11</v>
      </c>
    </row>
    <row r="5" spans="1:13" x14ac:dyDescent="0.25">
      <c r="A5" s="7" t="s">
        <v>31</v>
      </c>
      <c r="B5" s="3">
        <f>SUM(COUNTIF('Data Collected'!$F42:$F51,"NR"),COUNTIF('Data Collected'!$F52:$F61,"NR"))</f>
        <v>4</v>
      </c>
      <c r="C5" s="3">
        <f>SUM(COUNTIF('Data Collected'!$F42:$F51,"MR"),COUNTIF('Data Collected'!$F52:$F61,"MR"))</f>
        <v>14</v>
      </c>
      <c r="F5" s="7" t="s">
        <v>31</v>
      </c>
      <c r="G5" s="3">
        <f>SUM(COUNTIF('Data Collected'!$F12:$F21,"NR"),COUNTIF('Data Collected'!$F32:$F41,"NR"))</f>
        <v>9</v>
      </c>
      <c r="H5" s="3">
        <f>SUM(COUNTIF('Data Collected'!$F12:$F21,"MR"),COUNTIF('Data Collected'!$F32:$F41,"MR"))</f>
        <v>9</v>
      </c>
      <c r="K5" s="7" t="s">
        <v>26</v>
      </c>
      <c r="L5" s="3">
        <f>SUM(B5,G5)</f>
        <v>13</v>
      </c>
      <c r="M5" s="3">
        <f>SUM(C5,H5)</f>
        <v>23</v>
      </c>
    </row>
    <row r="6" spans="1:13" x14ac:dyDescent="0.25">
      <c r="A6" s="7" t="s">
        <v>95</v>
      </c>
      <c r="B6" s="3">
        <f>SUM(B4,C5)/SUM(B4:C5)*100</f>
        <v>62.962962962962962</v>
      </c>
      <c r="F6" s="7" t="s">
        <v>95</v>
      </c>
      <c r="G6" s="3">
        <f>SUM(G4,H5)/SUM(G4:H5) * 100</f>
        <v>48.148148148148145</v>
      </c>
      <c r="K6" s="7" t="s">
        <v>95</v>
      </c>
      <c r="L6" s="3">
        <f>SUM(L4,M5)/SUM(L4:M5) * 100</f>
        <v>55.555555555555557</v>
      </c>
    </row>
    <row r="9" spans="1:13" x14ac:dyDescent="0.25">
      <c r="A9" s="41" t="s">
        <v>99</v>
      </c>
      <c r="B9" s="42"/>
      <c r="C9" s="40"/>
      <c r="F9" s="41" t="s">
        <v>108</v>
      </c>
      <c r="G9" s="42"/>
      <c r="H9" s="40"/>
      <c r="K9" s="41" t="s">
        <v>92</v>
      </c>
      <c r="L9" s="42"/>
      <c r="M9" s="40"/>
    </row>
    <row r="10" spans="1:13" x14ac:dyDescent="0.25">
      <c r="A10" s="3"/>
      <c r="B10" s="43" t="s">
        <v>93</v>
      </c>
      <c r="C10" s="44"/>
      <c r="F10" s="3"/>
      <c r="G10" s="43" t="s">
        <v>93</v>
      </c>
      <c r="H10" s="44"/>
      <c r="K10" s="3"/>
      <c r="L10" s="43" t="s">
        <v>93</v>
      </c>
      <c r="M10" s="44"/>
    </row>
    <row r="11" spans="1:13" x14ac:dyDescent="0.25">
      <c r="A11" s="7" t="s">
        <v>94</v>
      </c>
      <c r="B11" s="5" t="s">
        <v>25</v>
      </c>
      <c r="C11" s="5" t="s">
        <v>31</v>
      </c>
      <c r="F11" s="7" t="s">
        <v>94</v>
      </c>
      <c r="G11" s="5" t="s">
        <v>25</v>
      </c>
      <c r="H11" s="5" t="s">
        <v>31</v>
      </c>
      <c r="K11" s="7" t="s">
        <v>94</v>
      </c>
      <c r="L11" s="5" t="s">
        <v>25</v>
      </c>
      <c r="M11" s="5" t="s">
        <v>31</v>
      </c>
    </row>
    <row r="12" spans="1:13" x14ac:dyDescent="0.25">
      <c r="A12" s="7" t="s">
        <v>25</v>
      </c>
      <c r="B12" s="3">
        <v>3</v>
      </c>
      <c r="C12" s="3">
        <v>6</v>
      </c>
      <c r="F12" s="7" t="s">
        <v>25</v>
      </c>
      <c r="G12" s="3">
        <v>4</v>
      </c>
      <c r="H12" s="3">
        <v>5</v>
      </c>
      <c r="K12" s="7" t="s">
        <v>25</v>
      </c>
      <c r="L12" s="3">
        <v>7</v>
      </c>
      <c r="M12" s="3">
        <v>11</v>
      </c>
    </row>
    <row r="13" spans="1:13" x14ac:dyDescent="0.25">
      <c r="A13" s="7" t="s">
        <v>26</v>
      </c>
      <c r="B13" s="3">
        <f>COUNTIF('Data Collected'!$F42:$F51, "NR")</f>
        <v>2</v>
      </c>
      <c r="C13" s="3">
        <f>COUNTIF('Data Collected'!$F42:$F51, "MR")</f>
        <v>7</v>
      </c>
      <c r="F13" s="7" t="s">
        <v>26</v>
      </c>
      <c r="G13" s="3">
        <f>COUNTIF('Data Collected'!$F12:$F21, "NR")</f>
        <v>5</v>
      </c>
      <c r="H13" s="3">
        <f>COUNTIF('Data Collected'!$F12:$F21, "MR")</f>
        <v>4</v>
      </c>
      <c r="K13" s="7" t="s">
        <v>26</v>
      </c>
      <c r="L13" s="3">
        <f>SUM(B13,G13)</f>
        <v>7</v>
      </c>
      <c r="M13" s="3">
        <f>SUM(C13,H13)</f>
        <v>11</v>
      </c>
    </row>
    <row r="14" spans="1:13" x14ac:dyDescent="0.25">
      <c r="A14" s="7" t="s">
        <v>28</v>
      </c>
      <c r="B14" s="3">
        <f>COUNTIF('Data Collected'!$F52:$F61, "NR")</f>
        <v>2</v>
      </c>
      <c r="C14" s="3">
        <f>COUNTIF('Data Collected'!$F52:$F61, "MR")</f>
        <v>7</v>
      </c>
      <c r="F14" s="7" t="s">
        <v>28</v>
      </c>
      <c r="G14" s="3">
        <f>COUNTIF('Data Collected'!$F32:$F41, "NR")</f>
        <v>4</v>
      </c>
      <c r="H14" s="3">
        <f>COUNTIF('Data Collected'!$F32:$F41, "MR")</f>
        <v>5</v>
      </c>
      <c r="K14" s="7" t="s">
        <v>28</v>
      </c>
      <c r="L14" s="3">
        <f>SUM(B14,G14)</f>
        <v>6</v>
      </c>
      <c r="M14" s="3">
        <f>SUM(C14,H14)</f>
        <v>12</v>
      </c>
    </row>
    <row r="15" spans="1:13" x14ac:dyDescent="0.25">
      <c r="A15" s="7" t="s">
        <v>95</v>
      </c>
      <c r="B15" s="3">
        <f>SUM(B12,C13,C14)/SUM(B12:C14) * 100</f>
        <v>62.962962962962962</v>
      </c>
      <c r="F15" s="7" t="s">
        <v>95</v>
      </c>
      <c r="G15" s="3">
        <f>SUM(G12,H13,H14)/SUM(G12:H14) * 100</f>
        <v>48.148148148148145</v>
      </c>
      <c r="K15" s="7" t="s">
        <v>95</v>
      </c>
      <c r="L15" s="3">
        <f>SUM(L12,M13,M14)/SUM(L12:M14) * 100</f>
        <v>55.555555555555557</v>
      </c>
    </row>
    <row r="18" spans="1:5" x14ac:dyDescent="0.25">
      <c r="B18" t="s">
        <v>31</v>
      </c>
      <c r="C18" t="s">
        <v>25</v>
      </c>
    </row>
    <row r="19" spans="1:5" x14ac:dyDescent="0.25">
      <c r="A19" t="s">
        <v>31</v>
      </c>
      <c r="B19">
        <v>170</v>
      </c>
      <c r="C19">
        <v>20</v>
      </c>
      <c r="E19">
        <f>SUM(B19,C20)/SUM(B19:C20)</f>
        <v>0.83557046979865768</v>
      </c>
    </row>
    <row r="20" spans="1:5" x14ac:dyDescent="0.25">
      <c r="A20" t="s">
        <v>25</v>
      </c>
      <c r="B20">
        <v>29</v>
      </c>
      <c r="C20">
        <v>79</v>
      </c>
    </row>
    <row r="21" spans="1:5" x14ac:dyDescent="0.25">
      <c r="B21" t="s">
        <v>31</v>
      </c>
      <c r="C21" t="s">
        <v>25</v>
      </c>
    </row>
    <row r="22" spans="1:5" x14ac:dyDescent="0.25">
      <c r="A22" t="s">
        <v>31</v>
      </c>
      <c r="B22">
        <v>166</v>
      </c>
      <c r="C22">
        <v>19</v>
      </c>
      <c r="E22">
        <f>SUM(B22,C23)/SUM(B22:C23)</f>
        <v>0.82550335570469802</v>
      </c>
    </row>
    <row r="23" spans="1:5" x14ac:dyDescent="0.25">
      <c r="A23" t="s">
        <v>25</v>
      </c>
      <c r="B23">
        <v>33</v>
      </c>
      <c r="C23">
        <v>80</v>
      </c>
    </row>
  </sheetData>
  <mergeCells count="12">
    <mergeCell ref="F9:H9"/>
    <mergeCell ref="G10:H10"/>
    <mergeCell ref="K9:M9"/>
    <mergeCell ref="L10:M10"/>
    <mergeCell ref="A9:C9"/>
    <mergeCell ref="B10:C10"/>
    <mergeCell ref="F1:H1"/>
    <mergeCell ref="K1:M1"/>
    <mergeCell ref="L2:M2"/>
    <mergeCell ref="G2:H2"/>
    <mergeCell ref="B2:C2"/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7433-4FB5-4D18-9360-AC9FA613DBD3}">
  <dimension ref="A1:M15"/>
  <sheetViews>
    <sheetView workbookViewId="0">
      <selection activeCell="F2" sqref="F2"/>
    </sheetView>
  </sheetViews>
  <sheetFormatPr defaultRowHeight="15" x14ac:dyDescent="0.25"/>
  <sheetData>
    <row r="1" spans="1:13" x14ac:dyDescent="0.25">
      <c r="A1" s="41" t="s">
        <v>99</v>
      </c>
      <c r="B1" s="42"/>
      <c r="C1" s="40"/>
      <c r="F1" s="41" t="s">
        <v>108</v>
      </c>
      <c r="G1" s="42"/>
      <c r="H1" s="40"/>
      <c r="K1" s="41" t="s">
        <v>92</v>
      </c>
      <c r="L1" s="42"/>
      <c r="M1" s="40"/>
    </row>
    <row r="2" spans="1:13" x14ac:dyDescent="0.25">
      <c r="A2" s="3"/>
      <c r="B2" s="43" t="s">
        <v>93</v>
      </c>
      <c r="C2" s="44"/>
      <c r="F2" s="3"/>
      <c r="G2" s="37" t="s">
        <v>93</v>
      </c>
      <c r="H2" s="37"/>
      <c r="K2" s="3"/>
      <c r="L2" s="43" t="s">
        <v>93</v>
      </c>
      <c r="M2" s="44"/>
    </row>
    <row r="3" spans="1:13" x14ac:dyDescent="0.25">
      <c r="A3" s="7" t="s">
        <v>94</v>
      </c>
      <c r="B3" s="5" t="s">
        <v>26</v>
      </c>
      <c r="C3" s="5" t="s">
        <v>28</v>
      </c>
      <c r="F3" s="7" t="s">
        <v>94</v>
      </c>
      <c r="G3" s="5" t="s">
        <v>26</v>
      </c>
      <c r="H3" s="5" t="s">
        <v>28</v>
      </c>
      <c r="K3" s="7" t="s">
        <v>94</v>
      </c>
      <c r="L3" s="5" t="s">
        <v>26</v>
      </c>
      <c r="M3" s="5" t="s">
        <v>28</v>
      </c>
    </row>
    <row r="4" spans="1:13" x14ac:dyDescent="0.25">
      <c r="A4" s="7" t="s">
        <v>26</v>
      </c>
      <c r="B4" s="3">
        <f>COUNTIF('Data Collected'!$H42:$H51,"M")</f>
        <v>9</v>
      </c>
      <c r="C4" s="3">
        <f>COUNTIF('Data Collected'!$H42:$H51,"R")</f>
        <v>0</v>
      </c>
      <c r="F4" s="7" t="s">
        <v>26</v>
      </c>
      <c r="G4" s="3">
        <f>COUNTIF('Data Collected'!$H12:$H21,"M")</f>
        <v>9</v>
      </c>
      <c r="H4" s="3">
        <f>COUNTIF('Data Collected'!$H12:$H21,"R")</f>
        <v>0</v>
      </c>
      <c r="K4" s="7" t="s">
        <v>26</v>
      </c>
      <c r="L4" s="3">
        <f>SUM(B4,G4)</f>
        <v>18</v>
      </c>
      <c r="M4" s="3">
        <f>SUM(C4,H4)</f>
        <v>0</v>
      </c>
    </row>
    <row r="5" spans="1:13" x14ac:dyDescent="0.25">
      <c r="A5" s="7" t="s">
        <v>28</v>
      </c>
      <c r="B5" s="3">
        <f>COUNTIF('Data Collected'!$H52:$H61,"M")</f>
        <v>9</v>
      </c>
      <c r="C5" s="3">
        <f>COUNTIF('Data Collected'!$H52:$H61,"R")</f>
        <v>0</v>
      </c>
      <c r="F5" s="7" t="s">
        <v>28</v>
      </c>
      <c r="G5" s="3">
        <f>COUNTIF('Data Collected'!$H32:$H41,"M")</f>
        <v>9</v>
      </c>
      <c r="H5" s="3">
        <f>COUNTIF('Data Collected'!$H32:$H41,"R")</f>
        <v>0</v>
      </c>
      <c r="K5" s="7" t="s">
        <v>28</v>
      </c>
      <c r="L5" s="3">
        <f>SUM(B5,G5)</f>
        <v>18</v>
      </c>
      <c r="M5" s="3">
        <f>SUM(C5,H5)</f>
        <v>0</v>
      </c>
    </row>
    <row r="6" spans="1:13" x14ac:dyDescent="0.25">
      <c r="A6" s="7" t="s">
        <v>95</v>
      </c>
      <c r="B6" s="3">
        <f>SUM(B4,C5)/SUM(B4:C5)*100</f>
        <v>50</v>
      </c>
      <c r="F6" s="7" t="s">
        <v>95</v>
      </c>
      <c r="G6" s="3">
        <f>SUM(G4,H5)/SUM(G4:H5) * 100</f>
        <v>50</v>
      </c>
      <c r="K6" s="7" t="s">
        <v>95</v>
      </c>
      <c r="L6" s="3">
        <f>SUM(L4,M5)/SUM(L4:M5) * 100</f>
        <v>50</v>
      </c>
    </row>
    <row r="9" spans="1:13" x14ac:dyDescent="0.25">
      <c r="B9" t="s">
        <v>26</v>
      </c>
      <c r="C9" t="s">
        <v>28</v>
      </c>
    </row>
    <row r="10" spans="1:13" x14ac:dyDescent="0.25">
      <c r="A10" t="s">
        <v>26</v>
      </c>
      <c r="B10">
        <v>61</v>
      </c>
      <c r="C10">
        <v>28</v>
      </c>
      <c r="E10">
        <f>SUM(B10,C11)/SUM(B10:C11)</f>
        <v>0.68341708542713564</v>
      </c>
    </row>
    <row r="11" spans="1:13" x14ac:dyDescent="0.25">
      <c r="A11" t="s">
        <v>28</v>
      </c>
      <c r="B11">
        <v>35</v>
      </c>
      <c r="C11">
        <v>75</v>
      </c>
    </row>
    <row r="13" spans="1:13" x14ac:dyDescent="0.25">
      <c r="B13" t="s">
        <v>26</v>
      </c>
      <c r="C13" t="s">
        <v>28</v>
      </c>
    </row>
    <row r="14" spans="1:13" x14ac:dyDescent="0.25">
      <c r="A14" t="s">
        <v>26</v>
      </c>
      <c r="B14">
        <v>60</v>
      </c>
      <c r="C14">
        <v>33</v>
      </c>
      <c r="E14">
        <f>SUM(B14,C15)/SUM(B14:C15)</f>
        <v>0.65326633165829151</v>
      </c>
    </row>
    <row r="15" spans="1:13" x14ac:dyDescent="0.25">
      <c r="A15" t="s">
        <v>28</v>
      </c>
      <c r="B15">
        <v>36</v>
      </c>
      <c r="C15">
        <v>70</v>
      </c>
    </row>
  </sheetData>
  <mergeCells count="6">
    <mergeCell ref="A1:C1"/>
    <mergeCell ref="F1:H1"/>
    <mergeCell ref="K1:M1"/>
    <mergeCell ref="B2:C2"/>
    <mergeCell ref="G2:H2"/>
    <mergeCell ref="L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4EB1-F9E4-46B8-BC8C-599F103897D5}">
  <dimension ref="A1:M15"/>
  <sheetViews>
    <sheetView workbookViewId="0">
      <selection activeCell="F2" sqref="F2"/>
    </sheetView>
  </sheetViews>
  <sheetFormatPr defaultRowHeight="15" x14ac:dyDescent="0.25"/>
  <sheetData>
    <row r="1" spans="1:13" x14ac:dyDescent="0.25">
      <c r="A1" s="41" t="s">
        <v>99</v>
      </c>
      <c r="B1" s="42"/>
      <c r="C1" s="40"/>
      <c r="F1" s="41" t="s">
        <v>108</v>
      </c>
      <c r="G1" s="42"/>
      <c r="H1" s="40"/>
      <c r="K1" s="41" t="s">
        <v>92</v>
      </c>
      <c r="L1" s="42"/>
      <c r="M1" s="40"/>
    </row>
    <row r="2" spans="1:13" x14ac:dyDescent="0.25">
      <c r="A2" s="3"/>
      <c r="B2" s="43" t="s">
        <v>93</v>
      </c>
      <c r="C2" s="44"/>
      <c r="F2" s="3"/>
      <c r="G2" s="37" t="s">
        <v>93</v>
      </c>
      <c r="H2" s="37"/>
      <c r="K2" s="3"/>
      <c r="L2" s="43" t="s">
        <v>93</v>
      </c>
      <c r="M2" s="44"/>
    </row>
    <row r="3" spans="1:13" x14ac:dyDescent="0.25">
      <c r="A3" s="7" t="s">
        <v>94</v>
      </c>
      <c r="B3" s="5" t="s">
        <v>26</v>
      </c>
      <c r="C3" s="5" t="s">
        <v>25</v>
      </c>
      <c r="F3" s="7" t="s">
        <v>94</v>
      </c>
      <c r="G3" s="5" t="s">
        <v>26</v>
      </c>
      <c r="H3" s="5" t="s">
        <v>25</v>
      </c>
      <c r="K3" s="7" t="s">
        <v>94</v>
      </c>
      <c r="L3" s="5" t="s">
        <v>26</v>
      </c>
      <c r="M3" s="5" t="s">
        <v>25</v>
      </c>
    </row>
    <row r="4" spans="1:13" x14ac:dyDescent="0.25">
      <c r="A4" s="7" t="s">
        <v>26</v>
      </c>
      <c r="B4" s="3">
        <f>COUNTIF('Data Collected'!$G42:$G51,"M")</f>
        <v>6</v>
      </c>
      <c r="C4" s="3">
        <f>COUNTIF('Data Collected'!$G42:$G51,"NR")</f>
        <v>3</v>
      </c>
      <c r="F4" s="7" t="s">
        <v>26</v>
      </c>
      <c r="G4" s="3">
        <f>COUNTIF('Data Collected'!$G12:$G21,"M")</f>
        <v>4</v>
      </c>
      <c r="H4" s="3">
        <f>COUNTIF('Data Collected'!$G12:$G21,"NR")</f>
        <v>5</v>
      </c>
      <c r="K4" s="7" t="s">
        <v>26</v>
      </c>
      <c r="L4" s="3">
        <f>SUM(B4,G4)</f>
        <v>10</v>
      </c>
      <c r="M4" s="3">
        <f>SUM(C4,H4)</f>
        <v>8</v>
      </c>
    </row>
    <row r="5" spans="1:13" x14ac:dyDescent="0.25">
      <c r="A5" s="7" t="s">
        <v>25</v>
      </c>
      <c r="B5" s="3">
        <f>COUNTIF('Data Collected'!$G2:$G11,"M")</f>
        <v>5</v>
      </c>
      <c r="C5" s="3">
        <f>COUNTIF('Data Collected'!$G2:$G11,"NR")</f>
        <v>4</v>
      </c>
      <c r="F5" s="7" t="s">
        <v>25</v>
      </c>
      <c r="G5" s="3">
        <f>COUNTIF('Data Collected'!$G22:$G31,"M")</f>
        <v>6</v>
      </c>
      <c r="H5" s="3">
        <f>COUNTIF('Data Collected'!$G22:$G31,"NR")</f>
        <v>3</v>
      </c>
      <c r="K5" s="7" t="s">
        <v>25</v>
      </c>
      <c r="L5" s="3">
        <f>SUM(B5,G5)</f>
        <v>11</v>
      </c>
      <c r="M5" s="3">
        <f>SUM(C5,H5)</f>
        <v>7</v>
      </c>
    </row>
    <row r="6" spans="1:13" x14ac:dyDescent="0.25">
      <c r="A6" s="7" t="s">
        <v>95</v>
      </c>
      <c r="B6" s="3">
        <f>SUM(B4,C5)/SUM(B4:C5)*100</f>
        <v>55.555555555555557</v>
      </c>
      <c r="F6" s="7" t="s">
        <v>95</v>
      </c>
      <c r="G6" s="3">
        <f>SUM(G4,H5)/SUM(G4:H5) * 100</f>
        <v>38.888888888888893</v>
      </c>
      <c r="K6" s="7" t="s">
        <v>95</v>
      </c>
      <c r="L6" s="3">
        <f>SUM(L4,M5)/SUM(L4:M5) * 100</f>
        <v>47.222222222222221</v>
      </c>
    </row>
    <row r="9" spans="1:13" x14ac:dyDescent="0.25">
      <c r="B9" t="s">
        <v>26</v>
      </c>
      <c r="C9" t="s">
        <v>25</v>
      </c>
    </row>
    <row r="10" spans="1:13" x14ac:dyDescent="0.25">
      <c r="A10" t="s">
        <v>26</v>
      </c>
      <c r="B10">
        <v>89</v>
      </c>
      <c r="C10">
        <v>14</v>
      </c>
      <c r="E10">
        <f>SUM(B10,C11)/SUM(B10:C11)</f>
        <v>0.89230769230769236</v>
      </c>
    </row>
    <row r="11" spans="1:13" x14ac:dyDescent="0.25">
      <c r="A11" t="s">
        <v>25</v>
      </c>
      <c r="B11">
        <v>7</v>
      </c>
      <c r="C11">
        <v>85</v>
      </c>
    </row>
    <row r="13" spans="1:13" x14ac:dyDescent="0.25">
      <c r="B13" t="s">
        <v>26</v>
      </c>
      <c r="C13" t="s">
        <v>25</v>
      </c>
    </row>
    <row r="14" spans="1:13" x14ac:dyDescent="0.25">
      <c r="A14" t="s">
        <v>26</v>
      </c>
      <c r="B14">
        <v>80</v>
      </c>
      <c r="C14">
        <v>21</v>
      </c>
      <c r="E14">
        <f>SUM(B14,C15)/SUM(B14:C15)</f>
        <v>0.81025641025641026</v>
      </c>
    </row>
    <row r="15" spans="1:13" x14ac:dyDescent="0.25">
      <c r="A15" t="s">
        <v>25</v>
      </c>
      <c r="B15">
        <v>16</v>
      </c>
      <c r="C15">
        <v>78</v>
      </c>
    </row>
  </sheetData>
  <mergeCells count="6">
    <mergeCell ref="A1:C1"/>
    <mergeCell ref="F1:H1"/>
    <mergeCell ref="K1:M1"/>
    <mergeCell ref="B2:C2"/>
    <mergeCell ref="G2:H2"/>
    <mergeCell ref="L2:M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9E640-5E1F-4805-9128-4B0864A789BA}">
  <dimension ref="A1:N7"/>
  <sheetViews>
    <sheetView workbookViewId="0">
      <selection activeCell="F2" sqref="F2"/>
    </sheetView>
  </sheetViews>
  <sheetFormatPr defaultRowHeight="15" x14ac:dyDescent="0.25"/>
  <sheetData>
    <row r="1" spans="1:14" x14ac:dyDescent="0.25">
      <c r="A1" s="36" t="s">
        <v>99</v>
      </c>
      <c r="B1" s="36"/>
      <c r="C1" s="36"/>
      <c r="D1" s="36"/>
      <c r="F1" s="36" t="s">
        <v>108</v>
      </c>
      <c r="G1" s="36"/>
      <c r="H1" s="36"/>
      <c r="I1" s="36"/>
      <c r="K1" s="36" t="s">
        <v>92</v>
      </c>
      <c r="L1" s="36"/>
      <c r="M1" s="36"/>
      <c r="N1" s="36"/>
    </row>
    <row r="2" spans="1:14" x14ac:dyDescent="0.25">
      <c r="A2" s="3"/>
      <c r="B2" s="37" t="s">
        <v>93</v>
      </c>
      <c r="C2" s="37"/>
      <c r="D2" s="37"/>
      <c r="F2" s="3"/>
      <c r="G2" s="37" t="s">
        <v>93</v>
      </c>
      <c r="H2" s="37"/>
      <c r="I2" s="37"/>
      <c r="K2" s="3"/>
      <c r="L2" s="37" t="s">
        <v>93</v>
      </c>
      <c r="M2" s="37"/>
      <c r="N2" s="37"/>
    </row>
    <row r="3" spans="1:14" x14ac:dyDescent="0.25">
      <c r="A3" s="7" t="s">
        <v>94</v>
      </c>
      <c r="B3" s="5" t="s">
        <v>25</v>
      </c>
      <c r="C3" s="5" t="s">
        <v>26</v>
      </c>
      <c r="D3" s="5" t="s">
        <v>28</v>
      </c>
      <c r="F3" s="7" t="s">
        <v>94</v>
      </c>
      <c r="G3" s="5" t="s">
        <v>25</v>
      </c>
      <c r="H3" s="5" t="s">
        <v>26</v>
      </c>
      <c r="I3" s="5" t="s">
        <v>28</v>
      </c>
      <c r="K3" s="7" t="s">
        <v>94</v>
      </c>
      <c r="L3" s="5" t="s">
        <v>25</v>
      </c>
      <c r="M3" s="5" t="s">
        <v>26</v>
      </c>
      <c r="N3" s="5" t="s">
        <v>28</v>
      </c>
    </row>
    <row r="4" spans="1:14" x14ac:dyDescent="0.25">
      <c r="A4" s="7" t="s">
        <v>25</v>
      </c>
      <c r="B4" s="3">
        <f>COUNTIF('Data Collected'!$Q2:$Q11,"NR")</f>
        <v>3</v>
      </c>
      <c r="C4" s="3">
        <f>COUNTIF('Data Collected'!$Q2:$Q11,"M")</f>
        <v>6</v>
      </c>
      <c r="D4" s="3">
        <f>COUNTIF('Data Collected'!$Q2:$Q11,"R")</f>
        <v>0</v>
      </c>
      <c r="F4" s="7" t="s">
        <v>25</v>
      </c>
      <c r="G4" s="3">
        <f>COUNTIF('Data Collected'!$Q22:$Q31,"NR")</f>
        <v>3</v>
      </c>
      <c r="H4" s="3">
        <f>COUNTIF('Data Collected'!$Q22:$Q31,"M")</f>
        <v>6</v>
      </c>
      <c r="I4" s="3">
        <f>COUNTIF('Data Collected'!$Q22:$Q31,"R")</f>
        <v>0</v>
      </c>
      <c r="K4" s="7" t="s">
        <v>25</v>
      </c>
      <c r="L4" s="3">
        <f>SUM(G4,B4)</f>
        <v>6</v>
      </c>
      <c r="M4" s="3">
        <f t="shared" ref="M4:N6" si="0">SUM(H4,C4)</f>
        <v>12</v>
      </c>
      <c r="N4" s="3">
        <f t="shared" si="0"/>
        <v>0</v>
      </c>
    </row>
    <row r="5" spans="1:14" x14ac:dyDescent="0.25">
      <c r="A5" s="7" t="s">
        <v>26</v>
      </c>
      <c r="B5" s="3">
        <f>COUNTIF('Data Collected'!$Q42:$Q51, "NR")</f>
        <v>2</v>
      </c>
      <c r="C5" s="3">
        <f>COUNTIF('Data Collected'!$Q42:$Q51, "M")</f>
        <v>7</v>
      </c>
      <c r="D5" s="3">
        <f>COUNTIF('Data Collected'!$Q42:$Q51, "R")</f>
        <v>0</v>
      </c>
      <c r="F5" s="7" t="s">
        <v>26</v>
      </c>
      <c r="G5" s="3">
        <f>COUNTIF('Data Collected'!$Q12:$Q21,"NR")</f>
        <v>5</v>
      </c>
      <c r="H5" s="3">
        <f>COUNTIF('Data Collected'!$Q12:$Q21,"M")</f>
        <v>4</v>
      </c>
      <c r="I5" s="3">
        <f>COUNTIF('Data Collected'!$Q12:$Q21,"R")</f>
        <v>0</v>
      </c>
      <c r="K5" s="7" t="s">
        <v>26</v>
      </c>
      <c r="L5" s="3">
        <f t="shared" ref="L5:L6" si="1">SUM(G5,B5)</f>
        <v>7</v>
      </c>
      <c r="M5" s="3">
        <f t="shared" si="0"/>
        <v>11</v>
      </c>
      <c r="N5" s="3">
        <f t="shared" si="0"/>
        <v>0</v>
      </c>
    </row>
    <row r="6" spans="1:14" x14ac:dyDescent="0.25">
      <c r="A6" s="7" t="s">
        <v>28</v>
      </c>
      <c r="B6" s="3">
        <f>COUNTIF('Data Collected'!$Q52:$Q61, "NR")</f>
        <v>2</v>
      </c>
      <c r="C6" s="3">
        <f>COUNTIF('Data Collected'!$Q52:$Q61, "M")</f>
        <v>7</v>
      </c>
      <c r="D6" s="3">
        <f>COUNTIF('Data Collected'!$Q52:$Q61, "R")</f>
        <v>0</v>
      </c>
      <c r="F6" s="7" t="s">
        <v>28</v>
      </c>
      <c r="G6" s="3">
        <f>COUNTIF('Data Collected'!$Q32:$Q41,"NR")</f>
        <v>4</v>
      </c>
      <c r="H6" s="3">
        <f>COUNTIF('Data Collected'!$Q32:$Q41,"M")</f>
        <v>5</v>
      </c>
      <c r="I6" s="3">
        <f>COUNTIF('Data Collected'!$Q32:$Q41,"R")</f>
        <v>0</v>
      </c>
      <c r="K6" s="7" t="s">
        <v>28</v>
      </c>
      <c r="L6" s="3">
        <f t="shared" si="1"/>
        <v>6</v>
      </c>
      <c r="M6" s="3">
        <f t="shared" si="0"/>
        <v>12</v>
      </c>
      <c r="N6" s="3">
        <f t="shared" si="0"/>
        <v>0</v>
      </c>
    </row>
    <row r="7" spans="1:14" x14ac:dyDescent="0.25">
      <c r="A7" s="7" t="s">
        <v>95</v>
      </c>
      <c r="B7" s="3">
        <f>SUM(B4,C5,D6)/27*100</f>
        <v>37.037037037037038</v>
      </c>
      <c r="F7" s="7" t="s">
        <v>95</v>
      </c>
      <c r="G7" s="3">
        <f>SUM(G4,H5,I6)/SUM(G4:I6) * 100</f>
        <v>25.925925925925924</v>
      </c>
      <c r="K7" s="7" t="s">
        <v>95</v>
      </c>
      <c r="L7" s="3">
        <f>SUM(L4,M5,N6)/SUM(L4:N6) * 100</f>
        <v>31.481481481481481</v>
      </c>
    </row>
  </sheetData>
  <mergeCells count="6">
    <mergeCell ref="A1:D1"/>
    <mergeCell ref="B2:D2"/>
    <mergeCell ref="F1:I1"/>
    <mergeCell ref="K1:N1"/>
    <mergeCell ref="G2:I2"/>
    <mergeCell ref="L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068162-e0b2-4cce-8072-6498d30fbec2" xsi:nil="true"/>
    <lcf76f155ced4ddcb4097134ff3c332f xmlns="f85c879b-c1d7-4099-a4cc-50e902b80ec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6CB12B25FABD4E9B3416D4824C6F99" ma:contentTypeVersion="16" ma:contentTypeDescription="Create a new document." ma:contentTypeScope="" ma:versionID="582581cdec4fdaafa7ea577f3800000c">
  <xsd:schema xmlns:xsd="http://www.w3.org/2001/XMLSchema" xmlns:xs="http://www.w3.org/2001/XMLSchema" xmlns:p="http://schemas.microsoft.com/office/2006/metadata/properties" xmlns:ns2="f85c879b-c1d7-4099-a4cc-50e902b80ecd" xmlns:ns3="2c068162-e0b2-4cce-8072-6498d30fbec2" targetNamespace="http://schemas.microsoft.com/office/2006/metadata/properties" ma:root="true" ma:fieldsID="6a6a3244aa728fd58f40bf0b6a2e2115" ns2:_="" ns3:_="">
    <xsd:import namespace="f85c879b-c1d7-4099-a4cc-50e902b80ecd"/>
    <xsd:import namespace="2c068162-e0b2-4cce-8072-6498d30fbe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c879b-c1d7-4099-a4cc-50e902b80e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86477d7-ad29-47e7-b319-eaa6f1949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68162-e0b2-4cce-8072-6498d30fbec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52ab38f-46ca-4b1d-9e9f-4be5d609aa5f}" ma:internalName="TaxCatchAll" ma:showField="CatchAllData" ma:web="2c068162-e0b2-4cce-8072-6498d30fbe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7C59D3-D067-4E80-BF31-B935E46468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B570BA-2E2B-45F6-BC0C-E9936CF2C6B1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f85c879b-c1d7-4099-a4cc-50e902b80ecd"/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2c068162-e0b2-4cce-8072-6498d30fbec2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D783AB7-EFA0-4F96-B3D4-5969D5D546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5c879b-c1d7-4099-a4cc-50e902b80ecd"/>
    <ds:schemaRef ds:uri="2c068162-e0b2-4cce-8072-6498d30fbe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0956884-10ad-40fa-863d-4f32c1e3a37a}" enabled="0" method="" siteId="{60956884-10ad-40fa-863d-4f32c1e3a37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Tables for Thesis</vt:lpstr>
      <vt:lpstr>Data Collected</vt:lpstr>
      <vt:lpstr>3C</vt:lpstr>
      <vt:lpstr>2C</vt:lpstr>
      <vt:lpstr>A</vt:lpstr>
      <vt:lpstr>B</vt:lpstr>
      <vt:lpstr>C</vt:lpstr>
      <vt:lpstr>HM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Parrott, William</dc:creator>
  <cp:keywords/>
  <dc:description/>
  <cp:lastModifiedBy>Parrott, William</cp:lastModifiedBy>
  <cp:revision/>
  <dcterms:created xsi:type="dcterms:W3CDTF">2026-10-13T12:58:29Z</dcterms:created>
  <dcterms:modified xsi:type="dcterms:W3CDTF">2026-10-28T15:03:06Z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0x010100BF6CB12B25FABD4E9B3416D4824C6F99</vt:lpwstr>
  </property>
  <property fmtid="{D5CDD505-2E9C-101B-9397-08002B2CF9AE}" pid="3" name="MediaServiceImageTags">
    <vt:lpwstr/>
  </property>
</Properties>
</file>